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wlevinson/programs/parsons/major-studio-1/assignments/3-dynamics-interactivity-narrative/data/"/>
    </mc:Choice>
  </mc:AlternateContent>
  <xr:revisionPtr revIDLastSave="0" documentId="13_ncr:1_{4E419EB7-B331-C04E-8BF3-70BF0B9C9DD0}" xr6:coauthVersionLast="38" xr6:coauthVersionMax="38" xr10:uidLastSave="{00000000-0000-0000-0000-000000000000}"/>
  <bookViews>
    <workbookView xWindow="7620" yWindow="460" windowWidth="20840" windowHeight="16180" activeTab="3" xr2:uid="{00000000-000D-0000-FFFF-FFFF00000000}"/>
  </bookViews>
  <sheets>
    <sheet name="master_formulas" sheetId="1" r:id="rId1"/>
    <sheet name="master_values_copy_to_CSV" sheetId="2" r:id="rId2"/>
    <sheet name="pivot" sheetId="3" r:id="rId3"/>
    <sheet name="shorthand calcs" sheetId="4" r:id="rId4"/>
  </sheets>
  <externalReferences>
    <externalReference r:id="rId5"/>
  </externalReferences>
  <definedNames>
    <definedName name="_xlnm._FilterDatabase" localSheetId="0" hidden="1">master_formulas!$A$1:$M$190</definedName>
  </definedNames>
  <calcPr calcId="179021"/>
  <pivotCaches>
    <pivotCache cacheId="0" r:id="rId6"/>
  </pivotCaches>
</workbook>
</file>

<file path=xl/calcChain.xml><?xml version="1.0" encoding="utf-8"?>
<calcChain xmlns="http://schemas.openxmlformats.org/spreadsheetml/2006/main">
  <c r="K12" i="4" l="1"/>
  <c r="K13" i="4" s="1"/>
  <c r="I12" i="4"/>
  <c r="I13" i="4" s="1"/>
  <c r="H12" i="4"/>
  <c r="H13" i="4" s="1"/>
  <c r="G12" i="4"/>
  <c r="G13" i="4" s="1"/>
  <c r="K10" i="4"/>
  <c r="J10" i="4"/>
  <c r="I10" i="4"/>
  <c r="H10" i="4"/>
  <c r="G10" i="4"/>
  <c r="J8" i="4"/>
  <c r="I8" i="4"/>
  <c r="H8" i="4"/>
  <c r="G8" i="4"/>
  <c r="I7" i="4"/>
  <c r="H7" i="4"/>
  <c r="G7" i="4"/>
  <c r="J7" i="4"/>
  <c r="L7" i="4" s="1"/>
  <c r="J16" i="1"/>
  <c r="L8" i="4"/>
  <c r="K9" i="4"/>
  <c r="L6" i="4"/>
  <c r="L9" i="4" l="1"/>
  <c r="J9" i="4"/>
  <c r="J12" i="4" l="1"/>
  <c r="J13" i="4" s="1"/>
  <c r="J34" i="1"/>
  <c r="K144" i="1" l="1"/>
  <c r="K46" i="1"/>
  <c r="K20" i="1"/>
  <c r="K89" i="1"/>
  <c r="K86" i="1"/>
  <c r="K164" i="1"/>
  <c r="K187" i="1"/>
  <c r="K183" i="1"/>
  <c r="K137" i="1"/>
  <c r="K81" i="1"/>
  <c r="K139" i="1"/>
  <c r="K26" i="1"/>
  <c r="K85" i="1"/>
  <c r="K165" i="1"/>
  <c r="K160" i="1"/>
  <c r="K90" i="1"/>
  <c r="K47" i="1"/>
  <c r="K129" i="1"/>
  <c r="K53" i="1"/>
  <c r="K121" i="1"/>
  <c r="K131" i="1"/>
  <c r="K79" i="1"/>
  <c r="K130" i="1"/>
  <c r="K163" i="1"/>
  <c r="K56" i="1"/>
  <c r="K45" i="1"/>
  <c r="K71" i="1"/>
  <c r="K36" i="1"/>
  <c r="K180" i="1"/>
  <c r="K73" i="1"/>
  <c r="K17" i="1"/>
  <c r="K22" i="1"/>
  <c r="K145" i="1"/>
  <c r="K124" i="1"/>
  <c r="K149" i="1"/>
  <c r="K49" i="1"/>
  <c r="K18" i="1"/>
  <c r="K25" i="1"/>
  <c r="K140" i="1"/>
  <c r="K60" i="1"/>
  <c r="K159" i="1"/>
  <c r="K157" i="1"/>
  <c r="K175" i="1"/>
  <c r="K4" i="1"/>
  <c r="K31" i="1"/>
  <c r="K101" i="1"/>
  <c r="K99" i="1"/>
  <c r="K88" i="1"/>
  <c r="K80" i="1"/>
  <c r="K107" i="1"/>
  <c r="K24" i="1"/>
  <c r="K13" i="1"/>
  <c r="K190" i="1"/>
  <c r="K43" i="1"/>
  <c r="K105" i="1"/>
  <c r="K189" i="1"/>
  <c r="K173" i="1"/>
  <c r="K38" i="1"/>
  <c r="K57" i="1"/>
  <c r="K186" i="1"/>
  <c r="K185" i="1"/>
  <c r="K93" i="1"/>
  <c r="K141" i="1"/>
  <c r="K64" i="1"/>
  <c r="K114" i="1"/>
  <c r="K39" i="1"/>
  <c r="K30" i="1"/>
  <c r="K78" i="1"/>
  <c r="K21" i="1"/>
  <c r="K97" i="1"/>
  <c r="K5" i="1"/>
  <c r="K161" i="1"/>
  <c r="K182" i="1"/>
  <c r="K72" i="1"/>
  <c r="K111" i="1"/>
  <c r="K82" i="1"/>
  <c r="K37" i="1"/>
  <c r="K184" i="1"/>
  <c r="K150" i="1"/>
  <c r="K152" i="1"/>
  <c r="K135" i="1"/>
  <c r="K168" i="1"/>
  <c r="K84" i="1"/>
  <c r="K167" i="1"/>
  <c r="K110" i="1"/>
  <c r="K50" i="1"/>
  <c r="K6" i="1"/>
  <c r="K142" i="1"/>
  <c r="K100" i="1"/>
  <c r="K127" i="1"/>
  <c r="K63" i="1"/>
  <c r="K188" i="1"/>
  <c r="K76" i="1"/>
  <c r="K102" i="1"/>
  <c r="K28" i="1"/>
  <c r="K14" i="1"/>
  <c r="K181" i="1"/>
  <c r="K143" i="1"/>
  <c r="K11" i="1"/>
  <c r="K35" i="1"/>
  <c r="K69" i="1"/>
  <c r="K179" i="1"/>
  <c r="K67" i="1"/>
  <c r="K61" i="1"/>
  <c r="K126" i="1"/>
  <c r="K59" i="1"/>
  <c r="K42" i="1"/>
  <c r="K153" i="1"/>
  <c r="K154" i="1"/>
  <c r="K51" i="1"/>
  <c r="K158" i="1"/>
  <c r="K138" i="1"/>
  <c r="K151" i="1"/>
  <c r="K134" i="1"/>
  <c r="K65" i="1"/>
  <c r="K32" i="1"/>
  <c r="K94" i="1"/>
  <c r="K95" i="1"/>
  <c r="K174" i="1"/>
  <c r="K2" i="1"/>
  <c r="K75" i="1"/>
  <c r="K52" i="1"/>
  <c r="K33" i="1"/>
  <c r="K7" i="1"/>
  <c r="K136" i="1"/>
  <c r="K58" i="1"/>
  <c r="K66" i="1"/>
  <c r="K132" i="1"/>
  <c r="K83" i="1"/>
  <c r="K96" i="1"/>
  <c r="K148" i="1"/>
  <c r="K103" i="1"/>
  <c r="K178" i="1"/>
  <c r="K177" i="1"/>
  <c r="K147" i="1"/>
  <c r="K118" i="1"/>
  <c r="K166" i="1"/>
  <c r="K162" i="1"/>
  <c r="K146" i="1"/>
  <c r="K113" i="1"/>
  <c r="K123" i="1"/>
  <c r="K40" i="1"/>
  <c r="K108" i="1"/>
  <c r="K55" i="1"/>
  <c r="K155" i="1"/>
  <c r="K109" i="1"/>
  <c r="K54" i="1"/>
  <c r="K3" i="1"/>
  <c r="K169" i="1"/>
  <c r="K172" i="1"/>
  <c r="K98" i="1"/>
  <c r="K12" i="1"/>
  <c r="K128" i="1"/>
  <c r="K16" i="1"/>
  <c r="K170" i="1"/>
  <c r="K92" i="1"/>
  <c r="K68" i="1"/>
  <c r="K116" i="1"/>
  <c r="K77" i="1"/>
  <c r="K34" i="1"/>
  <c r="K44" i="1"/>
  <c r="K91" i="1"/>
  <c r="K10" i="1"/>
  <c r="K171" i="1"/>
  <c r="K29" i="1"/>
  <c r="K74" i="1"/>
  <c r="K70" i="1"/>
  <c r="K156" i="1"/>
  <c r="K27" i="1"/>
  <c r="K48" i="1"/>
  <c r="K117" i="1"/>
  <c r="K106" i="1"/>
  <c r="K125" i="1"/>
  <c r="K133" i="1"/>
  <c r="K87" i="1"/>
  <c r="K122" i="1"/>
  <c r="K176" i="1"/>
  <c r="K8" i="1"/>
  <c r="K9" i="1"/>
  <c r="K112" i="1"/>
  <c r="K115" i="1"/>
  <c r="K119" i="1"/>
  <c r="K15" i="1"/>
  <c r="K120" i="1"/>
  <c r="K62" i="1"/>
  <c r="K23" i="1"/>
  <c r="K104" i="1"/>
  <c r="K41" i="1"/>
  <c r="J144" i="1"/>
  <c r="J46" i="1"/>
  <c r="J20" i="1"/>
  <c r="J89" i="1"/>
  <c r="J86" i="1"/>
  <c r="J164" i="1"/>
  <c r="J187" i="1"/>
  <c r="J183" i="1"/>
  <c r="J137" i="1"/>
  <c r="J81" i="1"/>
  <c r="J139" i="1"/>
  <c r="J26" i="1"/>
  <c r="J85" i="1"/>
  <c r="J165" i="1"/>
  <c r="J160" i="1"/>
  <c r="J90" i="1"/>
  <c r="J47" i="1"/>
  <c r="J129" i="1"/>
  <c r="J53" i="1"/>
  <c r="J121" i="1"/>
  <c r="J131" i="1"/>
  <c r="J79" i="1"/>
  <c r="J130" i="1"/>
  <c r="J163" i="1"/>
  <c r="J56" i="1"/>
  <c r="J45" i="1"/>
  <c r="J71" i="1"/>
  <c r="J36" i="1"/>
  <c r="J180" i="1"/>
  <c r="J73" i="1"/>
  <c r="J17" i="1"/>
  <c r="J22" i="1"/>
  <c r="J145" i="1"/>
  <c r="J124" i="1"/>
  <c r="J149" i="1"/>
  <c r="J49" i="1"/>
  <c r="J18" i="1"/>
  <c r="J25" i="1"/>
  <c r="J140" i="1"/>
  <c r="J60" i="1"/>
  <c r="J159" i="1"/>
  <c r="J157" i="1"/>
  <c r="J175" i="1"/>
  <c r="J4" i="1"/>
  <c r="J31" i="1"/>
  <c r="J101" i="1"/>
  <c r="J99" i="1"/>
  <c r="J88" i="1"/>
  <c r="J80" i="1"/>
  <c r="J107" i="1"/>
  <c r="J24" i="1"/>
  <c r="J13" i="1"/>
  <c r="J190" i="1"/>
  <c r="J43" i="1"/>
  <c r="J105" i="1"/>
  <c r="J189" i="1"/>
  <c r="J173" i="1"/>
  <c r="J38" i="1"/>
  <c r="J57" i="1"/>
  <c r="J186" i="1"/>
  <c r="J185" i="1"/>
  <c r="J93" i="1"/>
  <c r="J141" i="1"/>
  <c r="J64" i="1"/>
  <c r="J114" i="1"/>
  <c r="J39" i="1"/>
  <c r="J30" i="1"/>
  <c r="J78" i="1"/>
  <c r="J21" i="1"/>
  <c r="J97" i="1"/>
  <c r="J5" i="1"/>
  <c r="J161" i="1"/>
  <c r="J182" i="1"/>
  <c r="J72" i="1"/>
  <c r="J111" i="1"/>
  <c r="J82" i="1"/>
  <c r="J37" i="1"/>
  <c r="J184" i="1"/>
  <c r="J150" i="1"/>
  <c r="J152" i="1"/>
  <c r="J135" i="1"/>
  <c r="J168" i="1"/>
  <c r="J84" i="1"/>
  <c r="J167" i="1"/>
  <c r="J110" i="1"/>
  <c r="J50" i="1"/>
  <c r="J6" i="1"/>
  <c r="J142" i="1"/>
  <c r="J100" i="1"/>
  <c r="J127" i="1"/>
  <c r="J63" i="1"/>
  <c r="J188" i="1"/>
  <c r="J76" i="1"/>
  <c r="J102" i="1"/>
  <c r="J28" i="1"/>
  <c r="J14" i="1"/>
  <c r="J181" i="1"/>
  <c r="J143" i="1"/>
  <c r="J11" i="1"/>
  <c r="J35" i="1"/>
  <c r="J69" i="1"/>
  <c r="J179" i="1"/>
  <c r="J67" i="1"/>
  <c r="J61" i="1"/>
  <c r="J126" i="1"/>
  <c r="J59" i="1"/>
  <c r="J42" i="1"/>
  <c r="J153" i="1"/>
  <c r="J154" i="1"/>
  <c r="J51" i="1"/>
  <c r="J158" i="1"/>
  <c r="J138" i="1"/>
  <c r="J151" i="1"/>
  <c r="J134" i="1"/>
  <c r="J65" i="1"/>
  <c r="J32" i="1"/>
  <c r="J94" i="1"/>
  <c r="J95" i="1"/>
  <c r="J174" i="1"/>
  <c r="J2" i="1"/>
  <c r="J75" i="1"/>
  <c r="J52" i="1"/>
  <c r="J33" i="1"/>
  <c r="J7" i="1"/>
  <c r="J136" i="1"/>
  <c r="J58" i="1"/>
  <c r="J66" i="1"/>
  <c r="J132" i="1"/>
  <c r="J83" i="1"/>
  <c r="J96" i="1"/>
  <c r="J148" i="1"/>
  <c r="J103" i="1"/>
  <c r="J178" i="1"/>
  <c r="J177" i="1"/>
  <c r="J147" i="1"/>
  <c r="J118" i="1"/>
  <c r="J166" i="1"/>
  <c r="J162" i="1"/>
  <c r="J146" i="1"/>
  <c r="J113" i="1"/>
  <c r="J123" i="1"/>
  <c r="J40" i="1"/>
  <c r="J108" i="1"/>
  <c r="J55" i="1"/>
  <c r="J155" i="1"/>
  <c r="J109" i="1"/>
  <c r="J54" i="1"/>
  <c r="J3" i="1"/>
  <c r="J169" i="1"/>
  <c r="J172" i="1"/>
  <c r="J98" i="1"/>
  <c r="J12" i="1"/>
  <c r="J128" i="1"/>
  <c r="J170" i="1"/>
  <c r="J92" i="1"/>
  <c r="J68" i="1"/>
  <c r="J116" i="1"/>
  <c r="J77" i="1"/>
  <c r="J44" i="1"/>
  <c r="J91" i="1"/>
  <c r="J10" i="1"/>
  <c r="J171" i="1"/>
  <c r="J29" i="1"/>
  <c r="J74" i="1"/>
  <c r="J70" i="1"/>
  <c r="J156" i="1"/>
  <c r="J27" i="1"/>
  <c r="J48" i="1"/>
  <c r="J117" i="1"/>
  <c r="J106" i="1"/>
  <c r="J125" i="1"/>
  <c r="J133" i="1"/>
  <c r="J87" i="1"/>
  <c r="J122" i="1"/>
  <c r="J176" i="1"/>
  <c r="J8" i="1"/>
  <c r="J9" i="1"/>
  <c r="J112" i="1"/>
  <c r="J115" i="1"/>
  <c r="J119" i="1"/>
  <c r="J15" i="1"/>
  <c r="J120" i="1"/>
  <c r="J62" i="1"/>
  <c r="J23" i="1"/>
  <c r="J104" i="1"/>
  <c r="J41" i="1"/>
  <c r="I144" i="1"/>
  <c r="I46" i="1"/>
  <c r="I20" i="1"/>
  <c r="I89" i="1"/>
  <c r="I86" i="1"/>
  <c r="I164" i="1"/>
  <c r="I187" i="1"/>
  <c r="I183" i="1"/>
  <c r="I137" i="1"/>
  <c r="I81" i="1"/>
  <c r="I139" i="1"/>
  <c r="I26" i="1"/>
  <c r="I85" i="1"/>
  <c r="I165" i="1"/>
  <c r="I160" i="1"/>
  <c r="I90" i="1"/>
  <c r="I47" i="1"/>
  <c r="I129" i="1"/>
  <c r="I53" i="1"/>
  <c r="I121" i="1"/>
  <c r="I131" i="1"/>
  <c r="I79" i="1"/>
  <c r="I130" i="1"/>
  <c r="I163" i="1"/>
  <c r="I56" i="1"/>
  <c r="I45" i="1"/>
  <c r="I71" i="1"/>
  <c r="I36" i="1"/>
  <c r="I180" i="1"/>
  <c r="I73" i="1"/>
  <c r="I17" i="1"/>
  <c r="I22" i="1"/>
  <c r="I145" i="1"/>
  <c r="I124" i="1"/>
  <c r="I149" i="1"/>
  <c r="I49" i="1"/>
  <c r="I18" i="1"/>
  <c r="I25" i="1"/>
  <c r="I140" i="1"/>
  <c r="I60" i="1"/>
  <c r="I159" i="1"/>
  <c r="I157" i="1"/>
  <c r="I175" i="1"/>
  <c r="I4" i="1"/>
  <c r="I31" i="1"/>
  <c r="I101" i="1"/>
  <c r="I99" i="1"/>
  <c r="I88" i="1"/>
  <c r="I80" i="1"/>
  <c r="I107" i="1"/>
  <c r="I24" i="1"/>
  <c r="I13" i="1"/>
  <c r="I190" i="1"/>
  <c r="I43" i="1"/>
  <c r="I105" i="1"/>
  <c r="I189" i="1"/>
  <c r="I173" i="1"/>
  <c r="I38" i="1"/>
  <c r="I57" i="1"/>
  <c r="I186" i="1"/>
  <c r="I185" i="1"/>
  <c r="I93" i="1"/>
  <c r="I141" i="1"/>
  <c r="I64" i="1"/>
  <c r="I114" i="1"/>
  <c r="I39" i="1"/>
  <c r="I30" i="1"/>
  <c r="I78" i="1"/>
  <c r="I21" i="1"/>
  <c r="I97" i="1"/>
  <c r="I5" i="1"/>
  <c r="I161" i="1"/>
  <c r="I182" i="1"/>
  <c r="I72" i="1"/>
  <c r="I111" i="1"/>
  <c r="I82" i="1"/>
  <c r="I37" i="1"/>
  <c r="I184" i="1"/>
  <c r="I150" i="1"/>
  <c r="I152" i="1"/>
  <c r="I135" i="1"/>
  <c r="I168" i="1"/>
  <c r="I84" i="1"/>
  <c r="I167" i="1"/>
  <c r="I110" i="1"/>
  <c r="I50" i="1"/>
  <c r="I6" i="1"/>
  <c r="I142" i="1"/>
  <c r="I100" i="1"/>
  <c r="I127" i="1"/>
  <c r="I63" i="1"/>
  <c r="I188" i="1"/>
  <c r="I76" i="1"/>
  <c r="I102" i="1"/>
  <c r="I28" i="1"/>
  <c r="I14" i="1"/>
  <c r="I181" i="1"/>
  <c r="I143" i="1"/>
  <c r="I11" i="1"/>
  <c r="I35" i="1"/>
  <c r="I69" i="1"/>
  <c r="I179" i="1"/>
  <c r="I67" i="1"/>
  <c r="I61" i="1"/>
  <c r="I126" i="1"/>
  <c r="I59" i="1"/>
  <c r="I42" i="1"/>
  <c r="I153" i="1"/>
  <c r="I154" i="1"/>
  <c r="I51" i="1"/>
  <c r="I158" i="1"/>
  <c r="I138" i="1"/>
  <c r="I151" i="1"/>
  <c r="I134" i="1"/>
  <c r="I65" i="1"/>
  <c r="I32" i="1"/>
  <c r="I94" i="1"/>
  <c r="I95" i="1"/>
  <c r="I174" i="1"/>
  <c r="I2" i="1"/>
  <c r="I75" i="1"/>
  <c r="I52" i="1"/>
  <c r="I33" i="1"/>
  <c r="I7" i="1"/>
  <c r="I136" i="1"/>
  <c r="I58" i="1"/>
  <c r="I66" i="1"/>
  <c r="I132" i="1"/>
  <c r="I83" i="1"/>
  <c r="I96" i="1"/>
  <c r="I148" i="1"/>
  <c r="I103" i="1"/>
  <c r="I178" i="1"/>
  <c r="I177" i="1"/>
  <c r="I147" i="1"/>
  <c r="I118" i="1"/>
  <c r="I166" i="1"/>
  <c r="I162" i="1"/>
  <c r="I146" i="1"/>
  <c r="I113" i="1"/>
  <c r="I123" i="1"/>
  <c r="I40" i="1"/>
  <c r="I108" i="1"/>
  <c r="I55" i="1"/>
  <c r="I155" i="1"/>
  <c r="I109" i="1"/>
  <c r="I54" i="1"/>
  <c r="I3" i="1"/>
  <c r="I169" i="1"/>
  <c r="I172" i="1"/>
  <c r="I98" i="1"/>
  <c r="I12" i="1"/>
  <c r="I128" i="1"/>
  <c r="I16" i="1"/>
  <c r="I170" i="1"/>
  <c r="I92" i="1"/>
  <c r="I68" i="1"/>
  <c r="I116" i="1"/>
  <c r="I77" i="1"/>
  <c r="I34" i="1"/>
  <c r="I44" i="1"/>
  <c r="I91" i="1"/>
  <c r="I10" i="1"/>
  <c r="I171" i="1"/>
  <c r="I29" i="1"/>
  <c r="I74" i="1"/>
  <c r="I70" i="1"/>
  <c r="I156" i="1"/>
  <c r="I27" i="1"/>
  <c r="I48" i="1"/>
  <c r="I117" i="1"/>
  <c r="I106" i="1"/>
  <c r="I125" i="1"/>
  <c r="I133" i="1"/>
  <c r="I87" i="1"/>
  <c r="I122" i="1"/>
  <c r="I176" i="1"/>
  <c r="I8" i="1"/>
  <c r="I9" i="1"/>
  <c r="I112" i="1"/>
  <c r="I115" i="1"/>
  <c r="I119" i="1"/>
  <c r="I15" i="1"/>
  <c r="I120" i="1"/>
  <c r="I62" i="1"/>
  <c r="I23" i="1"/>
  <c r="I104" i="1"/>
  <c r="I41" i="1"/>
  <c r="H144" i="1"/>
  <c r="H46" i="1"/>
  <c r="H20" i="1"/>
  <c r="H89" i="1"/>
  <c r="H86" i="1"/>
  <c r="H164" i="1"/>
  <c r="H187" i="1"/>
  <c r="H183" i="1"/>
  <c r="H137" i="1"/>
  <c r="H81" i="1"/>
  <c r="H139" i="1"/>
  <c r="H26" i="1"/>
  <c r="H85" i="1"/>
  <c r="H165" i="1"/>
  <c r="H160" i="1"/>
  <c r="H90" i="1"/>
  <c r="H47" i="1"/>
  <c r="H129" i="1"/>
  <c r="H53" i="1"/>
  <c r="H121" i="1"/>
  <c r="H131" i="1"/>
  <c r="H79" i="1"/>
  <c r="H130" i="1"/>
  <c r="H163" i="1"/>
  <c r="H56" i="1"/>
  <c r="H45" i="1"/>
  <c r="H71" i="1"/>
  <c r="H36" i="1"/>
  <c r="H180" i="1"/>
  <c r="H73" i="1"/>
  <c r="H17" i="1"/>
  <c r="H22" i="1"/>
  <c r="H145" i="1"/>
  <c r="H124" i="1"/>
  <c r="H149" i="1"/>
  <c r="H49" i="1"/>
  <c r="H18" i="1"/>
  <c r="H25" i="1"/>
  <c r="H140" i="1"/>
  <c r="H60" i="1"/>
  <c r="H159" i="1"/>
  <c r="H157" i="1"/>
  <c r="H175" i="1"/>
  <c r="H4" i="1"/>
  <c r="H31" i="1"/>
  <c r="H101" i="1"/>
  <c r="H99" i="1"/>
  <c r="H88" i="1"/>
  <c r="H80" i="1"/>
  <c r="H107" i="1"/>
  <c r="H24" i="1"/>
  <c r="H13" i="1"/>
  <c r="H190" i="1"/>
  <c r="H43" i="1"/>
  <c r="H105" i="1"/>
  <c r="H189" i="1"/>
  <c r="H173" i="1"/>
  <c r="H38" i="1"/>
  <c r="H57" i="1"/>
  <c r="H186" i="1"/>
  <c r="H185" i="1"/>
  <c r="H93" i="1"/>
  <c r="H141" i="1"/>
  <c r="H64" i="1"/>
  <c r="H114" i="1"/>
  <c r="H39" i="1"/>
  <c r="H30" i="1"/>
  <c r="H78" i="1"/>
  <c r="H21" i="1"/>
  <c r="H97" i="1"/>
  <c r="H5" i="1"/>
  <c r="H161" i="1"/>
  <c r="H182" i="1"/>
  <c r="H72" i="1"/>
  <c r="H111" i="1"/>
  <c r="H82" i="1"/>
  <c r="H37" i="1"/>
  <c r="H184" i="1"/>
  <c r="H150" i="1"/>
  <c r="H152" i="1"/>
  <c r="H135" i="1"/>
  <c r="H168" i="1"/>
  <c r="H84" i="1"/>
  <c r="H167" i="1"/>
  <c r="H110" i="1"/>
  <c r="H50" i="1"/>
  <c r="H6" i="1"/>
  <c r="H142" i="1"/>
  <c r="H100" i="1"/>
  <c r="H127" i="1"/>
  <c r="H63" i="1"/>
  <c r="H188" i="1"/>
  <c r="H76" i="1"/>
  <c r="H102" i="1"/>
  <c r="H28" i="1"/>
  <c r="H14" i="1"/>
  <c r="H181" i="1"/>
  <c r="H143" i="1"/>
  <c r="H11" i="1"/>
  <c r="H35" i="1"/>
  <c r="H69" i="1"/>
  <c r="H179" i="1"/>
  <c r="H67" i="1"/>
  <c r="H61" i="1"/>
  <c r="H126" i="1"/>
  <c r="H59" i="1"/>
  <c r="H42" i="1"/>
  <c r="H153" i="1"/>
  <c r="H154" i="1"/>
  <c r="H51" i="1"/>
  <c r="H158" i="1"/>
  <c r="H138" i="1"/>
  <c r="H151" i="1"/>
  <c r="H134" i="1"/>
  <c r="H65" i="1"/>
  <c r="H32" i="1"/>
  <c r="H94" i="1"/>
  <c r="H95" i="1"/>
  <c r="H174" i="1"/>
  <c r="H2" i="1"/>
  <c r="H75" i="1"/>
  <c r="H52" i="1"/>
  <c r="H33" i="1"/>
  <c r="H7" i="1"/>
  <c r="H136" i="1"/>
  <c r="H58" i="1"/>
  <c r="H66" i="1"/>
  <c r="H132" i="1"/>
  <c r="H83" i="1"/>
  <c r="H96" i="1"/>
  <c r="H148" i="1"/>
  <c r="H103" i="1"/>
  <c r="H178" i="1"/>
  <c r="H177" i="1"/>
  <c r="H147" i="1"/>
  <c r="H118" i="1"/>
  <c r="H166" i="1"/>
  <c r="H162" i="1"/>
  <c r="H146" i="1"/>
  <c r="H113" i="1"/>
  <c r="H123" i="1"/>
  <c r="H40" i="1"/>
  <c r="H108" i="1"/>
  <c r="H55" i="1"/>
  <c r="H155" i="1"/>
  <c r="H109" i="1"/>
  <c r="H54" i="1"/>
  <c r="H3" i="1"/>
  <c r="H169" i="1"/>
  <c r="H172" i="1"/>
  <c r="H98" i="1"/>
  <c r="H12" i="1"/>
  <c r="H128" i="1"/>
  <c r="H16" i="1"/>
  <c r="H170" i="1"/>
  <c r="H92" i="1"/>
  <c r="H68" i="1"/>
  <c r="H116" i="1"/>
  <c r="H77" i="1"/>
  <c r="H34" i="1"/>
  <c r="H44" i="1"/>
  <c r="H91" i="1"/>
  <c r="H10" i="1"/>
  <c r="H171" i="1"/>
  <c r="H29" i="1"/>
  <c r="H74" i="1"/>
  <c r="H70" i="1"/>
  <c r="H156" i="1"/>
  <c r="H27" i="1"/>
  <c r="H48" i="1"/>
  <c r="H117" i="1"/>
  <c r="H106" i="1"/>
  <c r="H125" i="1"/>
  <c r="H133" i="1"/>
  <c r="H87" i="1"/>
  <c r="H122" i="1"/>
  <c r="H176" i="1"/>
  <c r="H8" i="1"/>
  <c r="H9" i="1"/>
  <c r="H112" i="1"/>
  <c r="H115" i="1"/>
  <c r="H119" i="1"/>
  <c r="H15" i="1"/>
  <c r="H120" i="1"/>
  <c r="H62" i="1"/>
  <c r="H23" i="1"/>
  <c r="H104" i="1"/>
  <c r="H41" i="1"/>
  <c r="G144" i="1"/>
  <c r="G46" i="1"/>
  <c r="G20" i="1"/>
  <c r="G89" i="1"/>
  <c r="G86" i="1"/>
  <c r="G164" i="1"/>
  <c r="G187" i="1"/>
  <c r="G183" i="1"/>
  <c r="G137" i="1"/>
  <c r="G81" i="1"/>
  <c r="G139" i="1"/>
  <c r="G26" i="1"/>
  <c r="G85" i="1"/>
  <c r="G165" i="1"/>
  <c r="G160" i="1"/>
  <c r="G90" i="1"/>
  <c r="G47" i="1"/>
  <c r="G129" i="1"/>
  <c r="G53" i="1"/>
  <c r="G121" i="1"/>
  <c r="G131" i="1"/>
  <c r="G79" i="1"/>
  <c r="G130" i="1"/>
  <c r="G163" i="1"/>
  <c r="G56" i="1"/>
  <c r="G45" i="1"/>
  <c r="G71" i="1"/>
  <c r="G36" i="1"/>
  <c r="G180" i="1"/>
  <c r="G73" i="1"/>
  <c r="G17" i="1"/>
  <c r="G22" i="1"/>
  <c r="G145" i="1"/>
  <c r="G124" i="1"/>
  <c r="G149" i="1"/>
  <c r="G49" i="1"/>
  <c r="G18" i="1"/>
  <c r="G25" i="1"/>
  <c r="G140" i="1"/>
  <c r="G60" i="1"/>
  <c r="G159" i="1"/>
  <c r="G157" i="1"/>
  <c r="G175" i="1"/>
  <c r="G4" i="1"/>
  <c r="G31" i="1"/>
  <c r="G101" i="1"/>
  <c r="G99" i="1"/>
  <c r="G88" i="1"/>
  <c r="G80" i="1"/>
  <c r="G107" i="1"/>
  <c r="G24" i="1"/>
  <c r="G13" i="1"/>
  <c r="G190" i="1"/>
  <c r="G43" i="1"/>
  <c r="G105" i="1"/>
  <c r="G189" i="1"/>
  <c r="G173" i="1"/>
  <c r="G38" i="1"/>
  <c r="G57" i="1"/>
  <c r="G186" i="1"/>
  <c r="G185" i="1"/>
  <c r="G93" i="1"/>
  <c r="G141" i="1"/>
  <c r="G64" i="1"/>
  <c r="G114" i="1"/>
  <c r="G39" i="1"/>
  <c r="G30" i="1"/>
  <c r="G78" i="1"/>
  <c r="G21" i="1"/>
  <c r="G97" i="1"/>
  <c r="G5" i="1"/>
  <c r="G161" i="1"/>
  <c r="G182" i="1"/>
  <c r="G72" i="1"/>
  <c r="G111" i="1"/>
  <c r="G82" i="1"/>
  <c r="G37" i="1"/>
  <c r="G184" i="1"/>
  <c r="G150" i="1"/>
  <c r="G152" i="1"/>
  <c r="G135" i="1"/>
  <c r="G168" i="1"/>
  <c r="G84" i="1"/>
  <c r="G167" i="1"/>
  <c r="G110" i="1"/>
  <c r="G50" i="1"/>
  <c r="G6" i="1"/>
  <c r="G142" i="1"/>
  <c r="G100" i="1"/>
  <c r="G127" i="1"/>
  <c r="G63" i="1"/>
  <c r="G188" i="1"/>
  <c r="G76" i="1"/>
  <c r="G102" i="1"/>
  <c r="G28" i="1"/>
  <c r="G14" i="1"/>
  <c r="G181" i="1"/>
  <c r="G143" i="1"/>
  <c r="G11" i="1"/>
  <c r="G35" i="1"/>
  <c r="G69" i="1"/>
  <c r="G179" i="1"/>
  <c r="G67" i="1"/>
  <c r="G61" i="1"/>
  <c r="G126" i="1"/>
  <c r="G59" i="1"/>
  <c r="G42" i="1"/>
  <c r="G153" i="1"/>
  <c r="G154" i="1"/>
  <c r="G51" i="1"/>
  <c r="G158" i="1"/>
  <c r="G138" i="1"/>
  <c r="G151" i="1"/>
  <c r="G134" i="1"/>
  <c r="G65" i="1"/>
  <c r="G32" i="1"/>
  <c r="G94" i="1"/>
  <c r="G95" i="1"/>
  <c r="G174" i="1"/>
  <c r="G2" i="1"/>
  <c r="G75" i="1"/>
  <c r="G52" i="1"/>
  <c r="G33" i="1"/>
  <c r="G7" i="1"/>
  <c r="G136" i="1"/>
  <c r="G58" i="1"/>
  <c r="G66" i="1"/>
  <c r="G132" i="1"/>
  <c r="G83" i="1"/>
  <c r="G96" i="1"/>
  <c r="G148" i="1"/>
  <c r="G103" i="1"/>
  <c r="G178" i="1"/>
  <c r="G177" i="1"/>
  <c r="G147" i="1"/>
  <c r="G118" i="1"/>
  <c r="G166" i="1"/>
  <c r="G162" i="1"/>
  <c r="G146" i="1"/>
  <c r="G113" i="1"/>
  <c r="G123" i="1"/>
  <c r="G40" i="1"/>
  <c r="G108" i="1"/>
  <c r="G55" i="1"/>
  <c r="G155" i="1"/>
  <c r="G109" i="1"/>
  <c r="G54" i="1"/>
  <c r="G3" i="1"/>
  <c r="G169" i="1"/>
  <c r="G172" i="1"/>
  <c r="G98" i="1"/>
  <c r="G12" i="1"/>
  <c r="G128" i="1"/>
  <c r="G16" i="1"/>
  <c r="G170" i="1"/>
  <c r="G92" i="1"/>
  <c r="G68" i="1"/>
  <c r="G116" i="1"/>
  <c r="G77" i="1"/>
  <c r="G34" i="1"/>
  <c r="G44" i="1"/>
  <c r="G91" i="1"/>
  <c r="G10" i="1"/>
  <c r="G171" i="1"/>
  <c r="G29" i="1"/>
  <c r="G74" i="1"/>
  <c r="G70" i="1"/>
  <c r="G156" i="1"/>
  <c r="G27" i="1"/>
  <c r="G48" i="1"/>
  <c r="G117" i="1"/>
  <c r="G106" i="1"/>
  <c r="G125" i="1"/>
  <c r="G133" i="1"/>
  <c r="G87" i="1"/>
  <c r="G122" i="1"/>
  <c r="G176" i="1"/>
  <c r="G8" i="1"/>
  <c r="G9" i="1"/>
  <c r="G112" i="1"/>
  <c r="G115" i="1"/>
  <c r="G119" i="1"/>
  <c r="G15" i="1"/>
  <c r="G120" i="1"/>
  <c r="G62" i="1"/>
  <c r="G23" i="1"/>
  <c r="G104" i="1"/>
  <c r="G41" i="1"/>
  <c r="F144" i="1"/>
  <c r="F46" i="1"/>
  <c r="F20" i="1"/>
  <c r="F89" i="1"/>
  <c r="F86" i="1"/>
  <c r="F164" i="1"/>
  <c r="F187" i="1"/>
  <c r="F183" i="1"/>
  <c r="F137" i="1"/>
  <c r="F81" i="1"/>
  <c r="F139" i="1"/>
  <c r="F26" i="1"/>
  <c r="F85" i="1"/>
  <c r="F165" i="1"/>
  <c r="F160" i="1"/>
  <c r="F90" i="1"/>
  <c r="F47" i="1"/>
  <c r="F129" i="1"/>
  <c r="F53" i="1"/>
  <c r="F121" i="1"/>
  <c r="F131" i="1"/>
  <c r="F79" i="1"/>
  <c r="F130" i="1"/>
  <c r="F163" i="1"/>
  <c r="F56" i="1"/>
  <c r="F45" i="1"/>
  <c r="F71" i="1"/>
  <c r="F36" i="1"/>
  <c r="F180" i="1"/>
  <c r="F73" i="1"/>
  <c r="F17" i="1"/>
  <c r="F22" i="1"/>
  <c r="F145" i="1"/>
  <c r="F124" i="1"/>
  <c r="F149" i="1"/>
  <c r="F49" i="1"/>
  <c r="F18" i="1"/>
  <c r="F25" i="1"/>
  <c r="F140" i="1"/>
  <c r="F60" i="1"/>
  <c r="F159" i="1"/>
  <c r="F157" i="1"/>
  <c r="F175" i="1"/>
  <c r="F4" i="1"/>
  <c r="F31" i="1"/>
  <c r="F101" i="1"/>
  <c r="F99" i="1"/>
  <c r="F88" i="1"/>
  <c r="F80" i="1"/>
  <c r="F107" i="1"/>
  <c r="F24" i="1"/>
  <c r="F13" i="1"/>
  <c r="F190" i="1"/>
  <c r="F43" i="1"/>
  <c r="F105" i="1"/>
  <c r="F189" i="1"/>
  <c r="F173" i="1"/>
  <c r="F38" i="1"/>
  <c r="F57" i="1"/>
  <c r="F186" i="1"/>
  <c r="F185" i="1"/>
  <c r="F93" i="1"/>
  <c r="F141" i="1"/>
  <c r="F64" i="1"/>
  <c r="F114" i="1"/>
  <c r="F39" i="1"/>
  <c r="F30" i="1"/>
  <c r="F78" i="1"/>
  <c r="F21" i="1"/>
  <c r="F97" i="1"/>
  <c r="F5" i="1"/>
  <c r="F161" i="1"/>
  <c r="F182" i="1"/>
  <c r="F72" i="1"/>
  <c r="F111" i="1"/>
  <c r="F82" i="1"/>
  <c r="F37" i="1"/>
  <c r="F184" i="1"/>
  <c r="F150" i="1"/>
  <c r="F152" i="1"/>
  <c r="F135" i="1"/>
  <c r="F168" i="1"/>
  <c r="F84" i="1"/>
  <c r="F167" i="1"/>
  <c r="F110" i="1"/>
  <c r="F50" i="1"/>
  <c r="F6" i="1"/>
  <c r="F142" i="1"/>
  <c r="F100" i="1"/>
  <c r="F127" i="1"/>
  <c r="F63" i="1"/>
  <c r="F188" i="1"/>
  <c r="F76" i="1"/>
  <c r="F102" i="1"/>
  <c r="F28" i="1"/>
  <c r="F14" i="1"/>
  <c r="F181" i="1"/>
  <c r="F143" i="1"/>
  <c r="F11" i="1"/>
  <c r="F35" i="1"/>
  <c r="F69" i="1"/>
  <c r="F179" i="1"/>
  <c r="F67" i="1"/>
  <c r="F61" i="1"/>
  <c r="F126" i="1"/>
  <c r="F59" i="1"/>
  <c r="F42" i="1"/>
  <c r="F153" i="1"/>
  <c r="F154" i="1"/>
  <c r="F51" i="1"/>
  <c r="F158" i="1"/>
  <c r="F138" i="1"/>
  <c r="F151" i="1"/>
  <c r="F134" i="1"/>
  <c r="F65" i="1"/>
  <c r="F32" i="1"/>
  <c r="F94" i="1"/>
  <c r="F95" i="1"/>
  <c r="F174" i="1"/>
  <c r="F2" i="1"/>
  <c r="F75" i="1"/>
  <c r="F52" i="1"/>
  <c r="F33" i="1"/>
  <c r="F7" i="1"/>
  <c r="F136" i="1"/>
  <c r="F58" i="1"/>
  <c r="F66" i="1"/>
  <c r="F132" i="1"/>
  <c r="F83" i="1"/>
  <c r="F96" i="1"/>
  <c r="F148" i="1"/>
  <c r="F103" i="1"/>
  <c r="F178" i="1"/>
  <c r="F177" i="1"/>
  <c r="F147" i="1"/>
  <c r="F118" i="1"/>
  <c r="F166" i="1"/>
  <c r="F162" i="1"/>
  <c r="F146" i="1"/>
  <c r="F113" i="1"/>
  <c r="F123" i="1"/>
  <c r="F40" i="1"/>
  <c r="F108" i="1"/>
  <c r="F55" i="1"/>
  <c r="F155" i="1"/>
  <c r="F109" i="1"/>
  <c r="F54" i="1"/>
  <c r="F3" i="1"/>
  <c r="F169" i="1"/>
  <c r="F172" i="1"/>
  <c r="F98" i="1"/>
  <c r="F12" i="1"/>
  <c r="F128" i="1"/>
  <c r="F16" i="1"/>
  <c r="F170" i="1"/>
  <c r="F92" i="1"/>
  <c r="F68" i="1"/>
  <c r="F116" i="1"/>
  <c r="F77" i="1"/>
  <c r="F34" i="1"/>
  <c r="F44" i="1"/>
  <c r="F91" i="1"/>
  <c r="F10" i="1"/>
  <c r="F171" i="1"/>
  <c r="F29" i="1"/>
  <c r="F74" i="1"/>
  <c r="F70" i="1"/>
  <c r="F156" i="1"/>
  <c r="F27" i="1"/>
  <c r="F48" i="1"/>
  <c r="F117" i="1"/>
  <c r="F106" i="1"/>
  <c r="F125" i="1"/>
  <c r="F133" i="1"/>
  <c r="F87" i="1"/>
  <c r="F122" i="1"/>
  <c r="F176" i="1"/>
  <c r="F8" i="1"/>
  <c r="F9" i="1"/>
  <c r="F112" i="1"/>
  <c r="F115" i="1"/>
  <c r="F119" i="1"/>
  <c r="F15" i="1"/>
  <c r="F120" i="1"/>
  <c r="F62" i="1"/>
  <c r="F23" i="1"/>
  <c r="F104" i="1"/>
  <c r="F41" i="1"/>
  <c r="M8" i="4"/>
  <c r="M7" i="4"/>
  <c r="K19" i="1"/>
  <c r="J19" i="1"/>
  <c r="I19" i="1"/>
  <c r="H19" i="1"/>
  <c r="G19" i="1"/>
  <c r="F19" i="1"/>
  <c r="M73" i="1" l="1"/>
  <c r="M19" i="1"/>
  <c r="M104" i="1"/>
  <c r="M15" i="1"/>
  <c r="M9" i="1"/>
  <c r="M87" i="1"/>
  <c r="M117" i="1"/>
  <c r="M70" i="1"/>
  <c r="M10" i="1"/>
  <c r="M77" i="1"/>
  <c r="M170" i="1"/>
  <c r="M98" i="1"/>
  <c r="M54" i="1"/>
  <c r="M108" i="1"/>
  <c r="M146" i="1"/>
  <c r="M147" i="1"/>
  <c r="M148" i="1"/>
  <c r="M66" i="1"/>
  <c r="M33" i="1"/>
  <c r="M174" i="1"/>
  <c r="M65" i="1"/>
  <c r="M158" i="1"/>
  <c r="M42" i="1"/>
  <c r="M67" i="1"/>
  <c r="M11" i="1"/>
  <c r="M28" i="1"/>
  <c r="M63" i="1"/>
  <c r="M6" i="1"/>
  <c r="M84" i="1"/>
  <c r="M150" i="1"/>
  <c r="M111" i="1"/>
  <c r="M5" i="1"/>
  <c r="M30" i="1"/>
  <c r="M141" i="1"/>
  <c r="M57" i="1"/>
  <c r="M105" i="1"/>
  <c r="M24" i="1"/>
  <c r="M99" i="1"/>
  <c r="M175" i="1"/>
  <c r="M140" i="1"/>
  <c r="M149" i="1"/>
  <c r="M17" i="1"/>
  <c r="M71" i="1"/>
  <c r="M130" i="1"/>
  <c r="M53" i="1"/>
  <c r="M160" i="1"/>
  <c r="M139" i="1"/>
  <c r="M187" i="1"/>
  <c r="M20" i="1"/>
  <c r="M23" i="1"/>
  <c r="M119" i="1"/>
  <c r="M8" i="1"/>
  <c r="M133" i="1"/>
  <c r="M48" i="1"/>
  <c r="M74" i="1"/>
  <c r="M91" i="1"/>
  <c r="M116" i="1"/>
  <c r="M16" i="1"/>
  <c r="M172" i="1"/>
  <c r="M109" i="1"/>
  <c r="M40" i="1"/>
  <c r="M162" i="1"/>
  <c r="M177" i="1"/>
  <c r="M96" i="1"/>
  <c r="M58" i="1"/>
  <c r="M52" i="1"/>
  <c r="M95" i="1"/>
  <c r="M134" i="1"/>
  <c r="M51" i="1"/>
  <c r="M59" i="1"/>
  <c r="M179" i="1"/>
  <c r="M143" i="1"/>
  <c r="M102" i="1"/>
  <c r="M127" i="1"/>
  <c r="M50" i="1"/>
  <c r="M168" i="1"/>
  <c r="M184" i="1"/>
  <c r="M72" i="1"/>
  <c r="M97" i="1"/>
  <c r="M39" i="1"/>
  <c r="M93" i="1"/>
  <c r="M38" i="1"/>
  <c r="M43" i="1"/>
  <c r="M107" i="1"/>
  <c r="M101" i="1"/>
  <c r="M157" i="1"/>
  <c r="M25" i="1"/>
  <c r="M124" i="1"/>
  <c r="M45" i="1"/>
  <c r="M79" i="1"/>
  <c r="M129" i="1"/>
  <c r="M165" i="1"/>
  <c r="M81" i="1"/>
  <c r="M164" i="1"/>
  <c r="M46" i="1"/>
  <c r="M62" i="1"/>
  <c r="M115" i="1"/>
  <c r="M176" i="1"/>
  <c r="M125" i="1"/>
  <c r="M27" i="1"/>
  <c r="M29" i="1"/>
  <c r="M44" i="1"/>
  <c r="M68" i="1"/>
  <c r="M128" i="1"/>
  <c r="M169" i="1"/>
  <c r="M155" i="1"/>
  <c r="M123" i="1"/>
  <c r="M166" i="1"/>
  <c r="M178" i="1"/>
  <c r="M83" i="1"/>
  <c r="M136" i="1"/>
  <c r="M75" i="1"/>
  <c r="M94" i="1"/>
  <c r="M151" i="1"/>
  <c r="M154" i="1"/>
  <c r="M126" i="1"/>
  <c r="M69" i="1"/>
  <c r="M181" i="1"/>
  <c r="M76" i="1"/>
  <c r="M100" i="1"/>
  <c r="M110" i="1"/>
  <c r="M135" i="1"/>
  <c r="M37" i="1"/>
  <c r="M182" i="1"/>
  <c r="M21" i="1"/>
  <c r="M114" i="1"/>
  <c r="M185" i="1"/>
  <c r="M173" i="1"/>
  <c r="M190" i="1"/>
  <c r="M80" i="1"/>
  <c r="M31" i="1"/>
  <c r="M159" i="1"/>
  <c r="M18" i="1"/>
  <c r="M145" i="1"/>
  <c r="M180" i="1"/>
  <c r="M56" i="1"/>
  <c r="M131" i="1"/>
  <c r="M47" i="1"/>
  <c r="M85" i="1"/>
  <c r="M137" i="1"/>
  <c r="M86" i="1"/>
  <c r="M144" i="1"/>
  <c r="M41" i="1"/>
  <c r="M120" i="1"/>
  <c r="M112" i="1"/>
  <c r="M122" i="1"/>
  <c r="M106" i="1"/>
  <c r="M156" i="1"/>
  <c r="M171" i="1"/>
  <c r="M34" i="1"/>
  <c r="M92" i="1"/>
  <c r="M12" i="1"/>
  <c r="M3" i="1"/>
  <c r="M55" i="1"/>
  <c r="M113" i="1"/>
  <c r="M118" i="1"/>
  <c r="M103" i="1"/>
  <c r="M132" i="1"/>
  <c r="M7" i="1"/>
  <c r="M2" i="1"/>
  <c r="M32" i="1"/>
  <c r="M138" i="1"/>
  <c r="M153" i="1"/>
  <c r="M61" i="1"/>
  <c r="M35" i="1"/>
  <c r="M14" i="1"/>
  <c r="M188" i="1"/>
  <c r="M142" i="1"/>
  <c r="M167" i="1"/>
  <c r="M152" i="1"/>
  <c r="M82" i="1"/>
  <c r="M161" i="1"/>
  <c r="M78" i="1"/>
  <c r="M64" i="1"/>
  <c r="M186" i="1"/>
  <c r="M189" i="1"/>
  <c r="M13" i="1"/>
  <c r="M88" i="1"/>
  <c r="M4" i="1"/>
  <c r="M60" i="1"/>
  <c r="M49" i="1"/>
  <c r="M22" i="1"/>
  <c r="M36" i="1"/>
  <c r="M163" i="1"/>
  <c r="M121" i="1"/>
  <c r="M90" i="1"/>
  <c r="M26" i="1"/>
  <c r="M183" i="1"/>
  <c r="M89" i="1"/>
</calcChain>
</file>

<file path=xl/sharedStrings.xml><?xml version="1.0" encoding="utf-8"?>
<sst xmlns="http://schemas.openxmlformats.org/spreadsheetml/2006/main" count="1855" uniqueCount="222">
  <si>
    <t>Country</t>
  </si>
  <si>
    <t>Ease</t>
  </si>
  <si>
    <t>Cost</t>
  </si>
  <si>
    <t>Access</t>
  </si>
  <si>
    <t>Category</t>
  </si>
  <si>
    <t>Afghanistan</t>
  </si>
  <si>
    <t>non</t>
  </si>
  <si>
    <t>Albania</t>
  </si>
  <si>
    <t>Algeria</t>
  </si>
  <si>
    <t>Angola</t>
  </si>
  <si>
    <t>sub</t>
  </si>
  <si>
    <t>Antigua and Barbuda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</si>
  <si>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</si>
  <si>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</si>
  <si>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</si>
  <si>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</si>
  <si>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</si>
  <si>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</si>
  <si>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</si>
  <si>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</si>
  <si>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</si>
  <si>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</si>
  <si>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</si>
  <si>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</si>
  <si>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</si>
  <si>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</si>
  <si>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</si>
  <si>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</si>
  <si>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</si>
  <si>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</si>
  <si>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</si>
  <si>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</si>
  <si>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</si>
  <si>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</si>
  <si>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</si>
  <si>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</si>
  <si>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</si>
  <si>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</si>
  <si>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</si>
  <si>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</si>
  <si>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</si>
  <si>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</si>
  <si>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</si>
  <si>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</si>
  <si>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</si>
  <si>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</si>
  <si>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</si>
  <si>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</si>
  <si>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</si>
  <si>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</si>
  <si>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</si>
  <si>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top</t>
  </si>
  <si>
    <t>Djibouti</t>
  </si>
  <si>
    <t>Dominica</t>
  </si>
  <si>
    <t>Dominican Republic</t>
  </si>
  <si>
    <t>Ecuador</t>
  </si>
  <si>
    <t>Egypt, Arab Rep.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</si>
  <si>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</si>
  <si>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</si>
  <si>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</si>
  <si>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</si>
  <si>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</si>
  <si>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</si>
  <si>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</si>
  <si>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</si>
  <si>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</si>
  <si>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</si>
  <si>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</si>
  <si>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</si>
  <si>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</si>
  <si>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</si>
  <si>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</si>
  <si>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</si>
  <si>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</si>
  <si>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</si>
  <si>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</si>
  <si>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</si>
  <si>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</si>
  <si>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Hong Kong, China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</si>
  <si>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</si>
  <si>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</si>
  <si>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</si>
  <si>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</si>
  <si>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</si>
  <si>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</si>
  <si>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</si>
  <si>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</si>
  <si>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</si>
  <si>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</si>
  <si>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</si>
  <si>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</si>
  <si>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</si>
  <si>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</si>
  <si>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</si>
  <si>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Rep.</t>
  </si>
  <si>
    <t>Kosovo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</si>
  <si>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</si>
  <si>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</si>
  <si>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</si>
  <si>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</si>
  <si>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</si>
  <si>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</si>
  <si>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</si>
  <si>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</si>
  <si>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</si>
  <si>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</si>
  <si>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</si>
  <si>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</si>
  <si>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</si>
  <si>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</si>
  <si>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</si>
  <si>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</si>
  <si>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</si>
  <si>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</si>
  <si>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</si>
  <si>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</si>
  <si>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</si>
  <si>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</si>
  <si>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</si>
  <si>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</si>
  <si>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</si>
  <si>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</si>
  <si>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</si>
  <si>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</si>
  <si>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</si>
  <si>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</si>
  <si>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</si>
  <si>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</si>
  <si>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</si>
  <si>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</si>
  <si>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</si>
  <si>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</si>
  <si>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</si>
  <si>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</si>
  <si>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</si>
  <si>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</si>
  <si>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</si>
  <si>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</si>
  <si>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</si>
  <si>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</si>
  <si>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</si>
  <si>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</si>
  <si>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</si>
  <si>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</si>
  <si>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</si>
  <si>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Russian Federation</t>
  </si>
  <si>
    <t>Rwanda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</si>
  <si>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</si>
  <si>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</si>
  <si>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</si>
  <si>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</si>
  <si>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</si>
  <si>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</si>
  <si>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</si>
  <si>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</si>
  <si>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</si>
  <si>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 Republic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</si>
  <si>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</si>
  <si>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</si>
  <si>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</si>
  <si>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</si>
  <si>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</si>
  <si>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</si>
  <si>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</si>
  <si>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St. Kitts and Nevis</t>
  </si>
  <si>
    <t>St. Lucia</t>
  </si>
  <si>
    <t>St. Vincent and the Grenadines</t>
  </si>
  <si>
    <t>Sudan</t>
  </si>
  <si>
    <t>Suriname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</si>
  <si>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</si>
  <si>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</si>
  <si>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</si>
  <si>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</si>
  <si>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</si>
  <si>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</si>
  <si>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</si>
  <si>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</si>
  <si>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</si>
  <si>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</si>
  <si>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</si>
  <si>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</si>
  <si>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</si>
  <si>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</si>
  <si>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</si>
  <si>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</si>
  <si>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</si>
  <si>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</si>
  <si>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</si>
  <si>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</si>
  <si>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</si>
  <si>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</si>
  <si>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West Bank and Gaza</t>
  </si>
  <si>
    <t>Yemen, Rep.</t>
  </si>
  <si>
    <t>Zambia</t>
  </si>
  <si>
    <t>Zimbabwe</t>
  </si>
  <si>
    <t>totalareakm2</t>
  </si>
  <si>
    <t>csptwh</t>
  </si>
  <si>
    <t>pvtwh</t>
  </si>
  <si>
    <t>wind20twh</t>
  </si>
  <si>
    <t>totaltwh</t>
  </si>
  <si>
    <t>perkm2</t>
  </si>
  <si>
    <t>nodata</t>
  </si>
  <si>
    <t>perperson</t>
  </si>
  <si>
    <t>Eswatini</t>
  </si>
  <si>
    <t>Cabo Verde</t>
  </si>
  <si>
    <t>population2017</t>
  </si>
  <si>
    <t>Row Labels</t>
  </si>
  <si>
    <t>Grand Total</t>
  </si>
  <si>
    <t>Sum of totaltwh</t>
  </si>
  <si>
    <t>Sum of twhperperson</t>
  </si>
  <si>
    <t>Sum of twhperkm2</t>
  </si>
  <si>
    <t>Math to apportion S. Sudan (include in site)</t>
  </si>
  <si>
    <t>* South sudan and Sudan combined in report for TWh/year under just Sudan. Will use Km2 to apportion to the split countries</t>
  </si>
  <si>
    <t>TWH Total</t>
  </si>
  <si>
    <t>KM2 Area</t>
  </si>
  <si>
    <t>From Data</t>
  </si>
  <si>
    <t>Split</t>
  </si>
  <si>
    <t>action</t>
  </si>
  <si>
    <t>TWh/year per km2 area</t>
  </si>
  <si>
    <t>TWh/year per capita</t>
  </si>
  <si>
    <t>area rank thh</t>
  </si>
  <si>
    <t>pop rank twh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</si>
</sst>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2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" fontId="0" fillId="0" borderId="0" xfId="0" applyNumberFormat="1"/>
    <xf numFmtId="0" fontId="16" fillId="0" borderId="0" xfId="0" applyFont="1"/>
    <xf numFmtId="0" fontId="0" fillId="0" borderId="0" xfId="0" applyFont="1"/>
    <xf numFmtId="11" fontId="0" fillId="0" borderId="0" xfId="0" applyNumberFormat="1"/>
    <xf numFmtId="0" fontId="16" fillId="0" borderId="10" xfId="0" applyFont="1" applyBorder="1"/>
    <xf numFmtId="3" fontId="0" fillId="0" borderId="0" xfId="0" applyNumberFormat="1"/>
    <xf numFmtId="0" fontId="0" fillId="0" borderId="10" xfId="0" applyBorder="1"/>
    <xf numFmtId="0" fontId="16" fillId="0" borderId="10" xfId="0" applyFont="1" applyFill="1" applyBorder="1"/>
    <xf numFmtId="0" fontId="18" fillId="0" borderId="0" xfId="0" applyFont="1"/>
    <xf numFmtId="10" fontId="18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w%20and%20working%20files/potent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potential"/>
      <sheetName val="data"/>
      <sheetName val="pivot"/>
    </sheetNames>
    <sheetDataSet>
      <sheetData sheetId="0"/>
      <sheetData sheetId="1">
        <row r="2">
          <cell r="A2" t="str">
            <v>Somalia</v>
          </cell>
          <cell r="B2">
            <v>633217</v>
          </cell>
          <cell r="C2">
            <v>13156</v>
          </cell>
          <cell r="D2">
            <v>25687</v>
          </cell>
          <cell r="E2">
            <v>43539</v>
          </cell>
          <cell r="F2">
            <v>82382</v>
          </cell>
          <cell r="G2">
            <v>0.13010073955689755</v>
          </cell>
        </row>
        <row r="3">
          <cell r="A3" t="str">
            <v>Djibouti</v>
          </cell>
          <cell r="B3">
            <v>21679</v>
          </cell>
          <cell r="C3">
            <v>852</v>
          </cell>
          <cell r="D3">
            <v>947</v>
          </cell>
          <cell r="E3">
            <v>934</v>
          </cell>
          <cell r="F3">
            <v>2733</v>
          </cell>
          <cell r="G3">
            <v>0.12606670049356519</v>
          </cell>
        </row>
        <row r="4">
          <cell r="A4" t="str">
            <v>Kenya</v>
          </cell>
          <cell r="B4">
            <v>582253</v>
          </cell>
          <cell r="C4">
            <v>15399</v>
          </cell>
          <cell r="D4">
            <v>23046</v>
          </cell>
          <cell r="E4">
            <v>22476</v>
          </cell>
          <cell r="F4">
            <v>60921</v>
          </cell>
          <cell r="G4">
            <v>0.10462977434208154</v>
          </cell>
        </row>
        <row r="5">
          <cell r="A5" t="str">
            <v>South Africa</v>
          </cell>
          <cell r="B5">
            <v>1220394</v>
          </cell>
          <cell r="C5">
            <v>43275</v>
          </cell>
          <cell r="D5">
            <v>42243</v>
          </cell>
          <cell r="E5">
            <v>41195</v>
          </cell>
          <cell r="F5">
            <v>126713</v>
          </cell>
          <cell r="G5">
            <v>0.10382958290519291</v>
          </cell>
        </row>
        <row r="6">
          <cell r="A6" t="str">
            <v>Morocco</v>
          </cell>
          <cell r="B6">
            <v>406318</v>
          </cell>
          <cell r="C6">
            <v>15127</v>
          </cell>
          <cell r="D6">
            <v>15155</v>
          </cell>
          <cell r="E6">
            <v>11297</v>
          </cell>
          <cell r="F6">
            <v>41579</v>
          </cell>
          <cell r="G6">
            <v>0.10233117902726437</v>
          </cell>
        </row>
        <row r="7">
          <cell r="A7" t="str">
            <v>Zimbabwe</v>
          </cell>
          <cell r="B7">
            <v>390649</v>
          </cell>
          <cell r="C7">
            <v>11874</v>
          </cell>
          <cell r="D7">
            <v>15684</v>
          </cell>
          <cell r="E7">
            <v>12137</v>
          </cell>
          <cell r="F7">
            <v>39695</v>
          </cell>
          <cell r="G7">
            <v>0.10161295689992807</v>
          </cell>
        </row>
        <row r="8">
          <cell r="A8" t="str">
            <v>Eritrea</v>
          </cell>
          <cell r="B8">
            <v>122098</v>
          </cell>
          <cell r="C8">
            <v>4349</v>
          </cell>
          <cell r="D8">
            <v>4775</v>
          </cell>
          <cell r="E8">
            <v>3154</v>
          </cell>
          <cell r="F8">
            <v>12278</v>
          </cell>
          <cell r="G8">
            <v>0.10055856770790676</v>
          </cell>
        </row>
        <row r="9">
          <cell r="A9" t="str">
            <v>Malawi</v>
          </cell>
          <cell r="B9">
            <v>118062</v>
          </cell>
          <cell r="C9">
            <v>4474</v>
          </cell>
          <cell r="D9">
            <v>5210</v>
          </cell>
          <cell r="E9">
            <v>1986</v>
          </cell>
          <cell r="F9">
            <v>11670</v>
          </cell>
          <cell r="G9">
            <v>9.884636885704122E-2</v>
          </cell>
        </row>
        <row r="10">
          <cell r="A10" t="str">
            <v>Egypt, Arab Rep.</v>
          </cell>
          <cell r="B10">
            <v>982446</v>
          </cell>
          <cell r="C10">
            <v>26605</v>
          </cell>
          <cell r="D10">
            <v>32218</v>
          </cell>
          <cell r="E10">
            <v>36601</v>
          </cell>
          <cell r="F10">
            <v>95424</v>
          </cell>
          <cell r="G10">
            <v>9.7129002510061624E-2</v>
          </cell>
        </row>
        <row r="11">
          <cell r="A11" t="str">
            <v>Tanzania</v>
          </cell>
          <cell r="B11">
            <v>941758</v>
          </cell>
          <cell r="C11">
            <v>31482</v>
          </cell>
          <cell r="D11">
            <v>38804</v>
          </cell>
          <cell r="E11">
            <v>18456</v>
          </cell>
          <cell r="F11">
            <v>88742</v>
          </cell>
          <cell r="G11">
            <v>9.423015254449657E-2</v>
          </cell>
        </row>
        <row r="12">
          <cell r="A12" t="str">
            <v>Eswatini</v>
          </cell>
          <cell r="B12">
            <v>17289</v>
          </cell>
          <cell r="C12">
            <v>559</v>
          </cell>
          <cell r="D12">
            <v>572</v>
          </cell>
          <cell r="E12">
            <v>476</v>
          </cell>
          <cell r="F12">
            <v>1607</v>
          </cell>
          <cell r="G12">
            <v>9.2949274104922208E-2</v>
          </cell>
        </row>
        <row r="13">
          <cell r="A13" t="str">
            <v>South Sudan</v>
          </cell>
          <cell r="B13">
            <v>619745</v>
          </cell>
          <cell r="C13">
            <v>19163.423587172754</v>
          </cell>
          <cell r="D13">
            <v>21736.384608441396</v>
          </cell>
          <cell r="E13">
            <v>15262.275087296366</v>
          </cell>
          <cell r="F13">
            <v>56162.08328291052</v>
          </cell>
          <cell r="G13">
            <v>9.0621276949246099E-2</v>
          </cell>
        </row>
        <row r="14">
          <cell r="A14" t="str">
            <v>Sudan</v>
          </cell>
          <cell r="B14">
            <v>1886068</v>
          </cell>
          <cell r="C14">
            <v>58319.986443152819</v>
          </cell>
          <cell r="D14">
            <v>66150.270588183601</v>
          </cell>
          <cell r="E14">
            <v>46447.633541774252</v>
          </cell>
          <cell r="F14">
            <v>170917.89057311066</v>
          </cell>
          <cell r="G14">
            <v>9.0621276949246085E-2</v>
          </cell>
        </row>
        <row r="15">
          <cell r="A15" t="str">
            <v>Gambia, The</v>
          </cell>
          <cell r="B15">
            <v>10797</v>
          </cell>
          <cell r="C15">
            <v>316</v>
          </cell>
          <cell r="D15">
            <v>474</v>
          </cell>
          <cell r="E15">
            <v>173</v>
          </cell>
          <cell r="F15">
            <v>963</v>
          </cell>
          <cell r="G15">
            <v>8.9191442067240903E-2</v>
          </cell>
        </row>
        <row r="16">
          <cell r="A16" t="str">
            <v>Lesotho</v>
          </cell>
          <cell r="B16">
            <v>30454</v>
          </cell>
          <cell r="C16">
            <v>1122</v>
          </cell>
          <cell r="D16">
            <v>938</v>
          </cell>
          <cell r="E16">
            <v>599</v>
          </cell>
          <cell r="F16">
            <v>2659</v>
          </cell>
          <cell r="G16">
            <v>8.7312011558415975E-2</v>
          </cell>
        </row>
        <row r="17">
          <cell r="A17" t="str">
            <v>Tunisia</v>
          </cell>
          <cell r="B17">
            <v>155176</v>
          </cell>
          <cell r="C17">
            <v>2045</v>
          </cell>
          <cell r="D17">
            <v>4645</v>
          </cell>
          <cell r="E17">
            <v>6842</v>
          </cell>
          <cell r="F17">
            <v>13532</v>
          </cell>
          <cell r="G17">
            <v>8.7204206836108675E-2</v>
          </cell>
        </row>
        <row r="18">
          <cell r="A18" t="str">
            <v>Namibia</v>
          </cell>
          <cell r="B18">
            <v>824205</v>
          </cell>
          <cell r="C18">
            <v>29716</v>
          </cell>
          <cell r="D18">
            <v>26183</v>
          </cell>
          <cell r="E18">
            <v>15196</v>
          </cell>
          <cell r="F18">
            <v>71095</v>
          </cell>
          <cell r="G18">
            <v>8.6258879768989508E-2</v>
          </cell>
        </row>
        <row r="19">
          <cell r="A19" t="str">
            <v>Uganda</v>
          </cell>
          <cell r="B19">
            <v>241278</v>
          </cell>
          <cell r="C19">
            <v>8582</v>
          </cell>
          <cell r="D19">
            <v>9470</v>
          </cell>
          <cell r="E19">
            <v>815</v>
          </cell>
          <cell r="F19">
            <v>18867</v>
          </cell>
          <cell r="G19">
            <v>7.8196105736950738E-2</v>
          </cell>
        </row>
        <row r="20">
          <cell r="A20" t="str">
            <v>Guinea-Bissau</v>
          </cell>
          <cell r="B20">
            <v>33974</v>
          </cell>
          <cell r="C20">
            <v>906</v>
          </cell>
          <cell r="D20">
            <v>1493</v>
          </cell>
          <cell r="E20">
            <v>124</v>
          </cell>
          <cell r="F20">
            <v>2523</v>
          </cell>
          <cell r="G20">
            <v>7.4262671454641785E-2</v>
          </cell>
        </row>
        <row r="21">
          <cell r="A21" t="str">
            <v>Senegal</v>
          </cell>
          <cell r="B21">
            <v>196761</v>
          </cell>
          <cell r="C21">
            <v>1537</v>
          </cell>
          <cell r="D21">
            <v>7519</v>
          </cell>
          <cell r="E21">
            <v>5454</v>
          </cell>
          <cell r="F21">
            <v>14510</v>
          </cell>
          <cell r="G21">
            <v>7.3744288756410065E-2</v>
          </cell>
        </row>
        <row r="22">
          <cell r="A22" t="str">
            <v>Rwanda</v>
          </cell>
          <cell r="B22">
            <v>25206</v>
          </cell>
          <cell r="C22">
            <v>789</v>
          </cell>
          <cell r="D22">
            <v>892</v>
          </cell>
          <cell r="E22">
            <v>0</v>
          </cell>
          <cell r="F22">
            <v>1681</v>
          </cell>
          <cell r="G22">
            <v>6.6690470522891371E-2</v>
          </cell>
        </row>
        <row r="23">
          <cell r="A23" t="str">
            <v>Botswana</v>
          </cell>
          <cell r="B23">
            <v>578084</v>
          </cell>
          <cell r="C23">
            <v>13070</v>
          </cell>
          <cell r="D23">
            <v>13764</v>
          </cell>
          <cell r="E23">
            <v>9793</v>
          </cell>
          <cell r="F23">
            <v>36627</v>
          </cell>
          <cell r="G23">
            <v>6.3359304184167006E-2</v>
          </cell>
        </row>
        <row r="24">
          <cell r="A24" t="str">
            <v>Mozambique</v>
          </cell>
          <cell r="B24">
            <v>786096</v>
          </cell>
          <cell r="C24">
            <v>16851</v>
          </cell>
          <cell r="D24">
            <v>22024</v>
          </cell>
          <cell r="E24">
            <v>10805</v>
          </cell>
          <cell r="F24">
            <v>49680</v>
          </cell>
          <cell r="G24">
            <v>6.31983879831471E-2</v>
          </cell>
        </row>
        <row r="25">
          <cell r="A25" t="str">
            <v>Zambia</v>
          </cell>
          <cell r="B25">
            <v>751315</v>
          </cell>
          <cell r="C25">
            <v>15691</v>
          </cell>
          <cell r="D25">
            <v>17894</v>
          </cell>
          <cell r="E25">
            <v>13229</v>
          </cell>
          <cell r="F25">
            <v>46814</v>
          </cell>
          <cell r="G25">
            <v>6.2309417488004365E-2</v>
          </cell>
        </row>
        <row r="26">
          <cell r="A26" t="str">
            <v>Burundi</v>
          </cell>
          <cell r="B26">
            <v>26949</v>
          </cell>
          <cell r="C26">
            <v>786</v>
          </cell>
          <cell r="D26">
            <v>888</v>
          </cell>
          <cell r="E26">
            <v>0</v>
          </cell>
          <cell r="F26">
            <v>1674</v>
          </cell>
          <cell r="G26">
            <v>6.211733273961928E-2</v>
          </cell>
        </row>
        <row r="27">
          <cell r="A27" t="str">
            <v>Nigeria</v>
          </cell>
          <cell r="B27">
            <v>909481</v>
          </cell>
          <cell r="C27">
            <v>10045</v>
          </cell>
          <cell r="D27">
            <v>32456</v>
          </cell>
          <cell r="E27">
            <v>12867</v>
          </cell>
          <cell r="F27">
            <v>55368</v>
          </cell>
          <cell r="G27">
            <v>6.0878676959716584E-2</v>
          </cell>
        </row>
        <row r="28">
          <cell r="A28" t="str">
            <v>Ethiopia</v>
          </cell>
          <cell r="B28">
            <v>1127582</v>
          </cell>
          <cell r="C28">
            <v>22959</v>
          </cell>
          <cell r="D28">
            <v>27154</v>
          </cell>
          <cell r="E28">
            <v>14838</v>
          </cell>
          <cell r="F28">
            <v>64951</v>
          </cell>
          <cell r="G28">
            <v>5.7602019187961498E-2</v>
          </cell>
        </row>
        <row r="29">
          <cell r="A29" t="str">
            <v>United States</v>
          </cell>
          <cell r="B29">
            <v>9834000</v>
          </cell>
          <cell r="C29">
            <v>116100</v>
          </cell>
          <cell r="D29">
            <v>283710</v>
          </cell>
          <cell r="E29">
            <v>49760</v>
          </cell>
          <cell r="F29">
            <v>449570</v>
          </cell>
          <cell r="G29">
            <v>4.5715883668903806E-2</v>
          </cell>
        </row>
        <row r="30">
          <cell r="A30" t="str">
            <v>Burkina Faso</v>
          </cell>
          <cell r="B30">
            <v>273367</v>
          </cell>
          <cell r="C30">
            <v>0</v>
          </cell>
          <cell r="D30">
            <v>7742</v>
          </cell>
          <cell r="E30">
            <v>4154</v>
          </cell>
          <cell r="F30">
            <v>11896</v>
          </cell>
          <cell r="G30">
            <v>4.3516591249126629E-2</v>
          </cell>
        </row>
        <row r="31">
          <cell r="A31" t="str">
            <v>Benin</v>
          </cell>
          <cell r="B31">
            <v>115543</v>
          </cell>
          <cell r="C31">
            <v>0</v>
          </cell>
          <cell r="D31">
            <v>3898</v>
          </cell>
          <cell r="E31">
            <v>405</v>
          </cell>
          <cell r="F31">
            <v>4303</v>
          </cell>
          <cell r="G31">
            <v>3.7241546437257127E-2</v>
          </cell>
        </row>
        <row r="32">
          <cell r="A32" t="str">
            <v>Algeria</v>
          </cell>
          <cell r="B32">
            <v>2316559</v>
          </cell>
          <cell r="C32">
            <v>26530</v>
          </cell>
          <cell r="D32">
            <v>27904</v>
          </cell>
          <cell r="E32">
            <v>30155</v>
          </cell>
          <cell r="F32">
            <v>84589</v>
          </cell>
          <cell r="G32">
            <v>3.6514934435082379E-2</v>
          </cell>
        </row>
        <row r="33">
          <cell r="A33" t="str">
            <v>Ghana</v>
          </cell>
          <cell r="B33">
            <v>238761</v>
          </cell>
          <cell r="C33">
            <v>229</v>
          </cell>
          <cell r="D33">
            <v>7644</v>
          </cell>
          <cell r="E33">
            <v>606</v>
          </cell>
          <cell r="F33">
            <v>8479</v>
          </cell>
          <cell r="G33">
            <v>3.5512499947646388E-2</v>
          </cell>
        </row>
        <row r="34">
          <cell r="A34" t="str">
            <v>Cote d'Ivoire</v>
          </cell>
          <cell r="B34">
            <v>321882</v>
          </cell>
          <cell r="C34">
            <v>221</v>
          </cell>
          <cell r="D34">
            <v>10325</v>
          </cell>
          <cell r="E34">
            <v>430</v>
          </cell>
          <cell r="F34">
            <v>10976</v>
          </cell>
          <cell r="G34">
            <v>3.4099452594429015E-2</v>
          </cell>
        </row>
        <row r="35">
          <cell r="A35" t="str">
            <v>Niger</v>
          </cell>
          <cell r="B35">
            <v>1183766</v>
          </cell>
          <cell r="C35">
            <v>8829</v>
          </cell>
          <cell r="D35">
            <v>15669</v>
          </cell>
          <cell r="E35">
            <v>14628</v>
          </cell>
          <cell r="F35">
            <v>39126</v>
          </cell>
          <cell r="G35">
            <v>3.3052140372337099E-2</v>
          </cell>
        </row>
        <row r="36">
          <cell r="A36" t="str">
            <v>Cameroon</v>
          </cell>
          <cell r="B36">
            <v>466295</v>
          </cell>
          <cell r="C36">
            <v>3706</v>
          </cell>
          <cell r="D36">
            <v>10105</v>
          </cell>
          <cell r="E36">
            <v>979</v>
          </cell>
          <cell r="F36">
            <v>14790</v>
          </cell>
          <cell r="G36">
            <v>3.1718118358549846E-2</v>
          </cell>
        </row>
        <row r="37">
          <cell r="A37" t="str">
            <v>Libya</v>
          </cell>
          <cell r="B37">
            <v>1616869</v>
          </cell>
          <cell r="C37">
            <v>11823</v>
          </cell>
          <cell r="D37">
            <v>13979</v>
          </cell>
          <cell r="E37">
            <v>21649</v>
          </cell>
          <cell r="F37">
            <v>47451</v>
          </cell>
          <cell r="G37">
            <v>2.9347461049720171E-2</v>
          </cell>
        </row>
        <row r="38">
          <cell r="A38" t="str">
            <v>Equatorial Guinea</v>
          </cell>
          <cell r="B38">
            <v>26987</v>
          </cell>
          <cell r="C38">
            <v>0</v>
          </cell>
          <cell r="D38">
            <v>706</v>
          </cell>
          <cell r="E38">
            <v>0</v>
          </cell>
          <cell r="F38">
            <v>706</v>
          </cell>
          <cell r="G38">
            <v>2.6160744061955756E-2</v>
          </cell>
        </row>
        <row r="39">
          <cell r="A39" t="str">
            <v>Mauritania</v>
          </cell>
          <cell r="B39">
            <v>1040738</v>
          </cell>
          <cell r="C39">
            <v>4988</v>
          </cell>
          <cell r="D39">
            <v>7990</v>
          </cell>
          <cell r="E39">
            <v>11822</v>
          </cell>
          <cell r="F39">
            <v>24800</v>
          </cell>
          <cell r="G39">
            <v>2.3829244247831827E-2</v>
          </cell>
        </row>
        <row r="40">
          <cell r="A40" t="str">
            <v>Chad</v>
          </cell>
          <cell r="B40">
            <v>1269961</v>
          </cell>
          <cell r="C40">
            <v>10284</v>
          </cell>
          <cell r="D40">
            <v>10506</v>
          </cell>
          <cell r="E40">
            <v>9165</v>
          </cell>
          <cell r="F40">
            <v>29955</v>
          </cell>
          <cell r="G40">
            <v>2.358733850882035E-2</v>
          </cell>
        </row>
        <row r="41">
          <cell r="A41" t="str">
            <v>Sierra Leone</v>
          </cell>
          <cell r="B41">
            <v>72322</v>
          </cell>
          <cell r="C41">
            <v>197</v>
          </cell>
          <cell r="D41">
            <v>1499</v>
          </cell>
          <cell r="E41">
            <v>0</v>
          </cell>
          <cell r="F41">
            <v>1696</v>
          </cell>
          <cell r="G41">
            <v>2.3450678908216033E-2</v>
          </cell>
        </row>
        <row r="42">
          <cell r="A42" t="str">
            <v>Togo</v>
          </cell>
          <cell r="B42">
            <v>57038</v>
          </cell>
          <cell r="C42">
            <v>0</v>
          </cell>
          <cell r="D42">
            <v>1257</v>
          </cell>
          <cell r="E42">
            <v>79</v>
          </cell>
          <cell r="F42">
            <v>1336</v>
          </cell>
          <cell r="G42">
            <v>2.3422981170447773E-2</v>
          </cell>
        </row>
        <row r="43">
          <cell r="A43" t="str">
            <v>Guinea</v>
          </cell>
          <cell r="B43">
            <v>244871</v>
          </cell>
          <cell r="C43">
            <v>467</v>
          </cell>
          <cell r="D43">
            <v>5204</v>
          </cell>
          <cell r="E43">
            <v>2</v>
          </cell>
          <cell r="F43">
            <v>5673</v>
          </cell>
          <cell r="G43">
            <v>2.3167300333645061E-2</v>
          </cell>
        </row>
        <row r="44">
          <cell r="A44" t="str">
            <v>Gabon</v>
          </cell>
          <cell r="B44">
            <v>264715</v>
          </cell>
          <cell r="C44">
            <v>6</v>
          </cell>
          <cell r="D44">
            <v>5402</v>
          </cell>
          <cell r="E44">
            <v>0</v>
          </cell>
          <cell r="F44">
            <v>5408</v>
          </cell>
          <cell r="G44">
            <v>2.0429518538805886E-2</v>
          </cell>
        </row>
        <row r="45">
          <cell r="A45" t="str">
            <v>Congo, Rep.</v>
          </cell>
          <cell r="B45">
            <v>341574</v>
          </cell>
          <cell r="C45">
            <v>2</v>
          </cell>
          <cell r="D45">
            <v>6778</v>
          </cell>
          <cell r="E45">
            <v>0</v>
          </cell>
          <cell r="F45">
            <v>6780</v>
          </cell>
          <cell r="G45">
            <v>1.9849285952677896E-2</v>
          </cell>
        </row>
        <row r="46">
          <cell r="A46" t="str">
            <v>Angola</v>
          </cell>
          <cell r="B46">
            <v>1247357</v>
          </cell>
          <cell r="C46">
            <v>9786</v>
          </cell>
          <cell r="D46">
            <v>13319</v>
          </cell>
          <cell r="E46">
            <v>202</v>
          </cell>
          <cell r="F46">
            <v>23307</v>
          </cell>
          <cell r="G46">
            <v>1.8685107791915227E-2</v>
          </cell>
        </row>
        <row r="47">
          <cell r="A47" t="str">
            <v>Madagascar</v>
          </cell>
          <cell r="B47">
            <v>591575</v>
          </cell>
          <cell r="C47">
            <v>3194</v>
          </cell>
          <cell r="D47">
            <v>4987</v>
          </cell>
          <cell r="E47">
            <v>2617</v>
          </cell>
          <cell r="F47">
            <v>10798</v>
          </cell>
          <cell r="G47">
            <v>1.8252968769809409E-2</v>
          </cell>
        </row>
        <row r="48">
          <cell r="A48" t="str">
            <v>Congo, Dem. Rep.</v>
          </cell>
          <cell r="B48">
            <v>2327986</v>
          </cell>
          <cell r="C48">
            <v>12439</v>
          </cell>
          <cell r="D48">
            <v>22862</v>
          </cell>
          <cell r="E48">
            <v>2173</v>
          </cell>
          <cell r="F48">
            <v>37474</v>
          </cell>
          <cell r="G48">
            <v>1.6097175842122762E-2</v>
          </cell>
        </row>
        <row r="49">
          <cell r="A49" t="str">
            <v>Central African Republic</v>
          </cell>
          <cell r="B49">
            <v>620200</v>
          </cell>
          <cell r="C49">
            <v>3471</v>
          </cell>
          <cell r="D49">
            <v>5284</v>
          </cell>
          <cell r="E49">
            <v>79</v>
          </cell>
          <cell r="F49">
            <v>8834</v>
          </cell>
          <cell r="G49">
            <v>1.4243792325056433E-2</v>
          </cell>
        </row>
        <row r="50">
          <cell r="A50" t="str">
            <v>Mali</v>
          </cell>
          <cell r="B50">
            <v>1251574</v>
          </cell>
          <cell r="C50">
            <v>0</v>
          </cell>
          <cell r="D50">
            <v>7906</v>
          </cell>
          <cell r="E50">
            <v>1923</v>
          </cell>
          <cell r="F50">
            <v>9829</v>
          </cell>
          <cell r="G50">
            <v>7.8533111106494705E-3</v>
          </cell>
        </row>
        <row r="51">
          <cell r="A51" t="str">
            <v>Liberia</v>
          </cell>
          <cell r="B51">
            <v>95877</v>
          </cell>
          <cell r="C51">
            <v>0</v>
          </cell>
          <cell r="D51">
            <v>667</v>
          </cell>
          <cell r="E51">
            <v>0</v>
          </cell>
          <cell r="F51">
            <v>667</v>
          </cell>
          <cell r="G51">
            <v>6.9568301052390039E-3</v>
          </cell>
        </row>
      </sheetData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Levinson" refreshedDate="43411.69499733796" createdVersion="6" refreshedVersion="6" minRefreshableVersion="3" recordCount="190" xr:uid="{00000000-000A-0000-FFFF-FFFF1B000000}">
  <cacheSource type="worksheet">
    <worksheetSource ref="A1:M1048576" sheet="master_values_copy_to_CSV"/>
  </cacheSource>
  <cacheFields count="13">
    <cacheField name="Country" numFmtId="0">
      <sharedItems containsBlank="1" count="190">
        <s v="Afghanistan"/>
        <s v="Albania"/>
        <s v="Algeria"/>
        <s v="Angola"/>
        <s v="Antigua and Barbuda"/>
        <s v="Argentina"/>
        <s v="Armenia"/>
        <s v="Australia"/>
        <s v="Austria"/>
        <s v="Azerbaijan"/>
        <s v="Bahamas, The"/>
        <s v="Bahrain"/>
        <s v="Bangladesh"/>
        <s v="Barbados"/>
        <s v="Belarus"/>
        <s v="Belgium"/>
        <s v="Belize"/>
        <s v="Benin"/>
        <s v="Bhutan"/>
        <s v="Bolivia"/>
        <s v="Bosnia and Herzegovina"/>
        <s v="Botswana"/>
        <s v="Brazil"/>
        <s v="Brunei Darussalam"/>
        <s v="Bulgaria"/>
        <s v="Burkina Faso"/>
        <s v="Burundi"/>
        <s v="Cambodia"/>
        <s v="Cameroon"/>
        <s v="Canada"/>
        <s v="Cabo Verde"/>
        <s v="Central African Republic"/>
        <s v="Chad"/>
        <s v="Chile"/>
        <s v="China"/>
        <s v="Colombia"/>
        <s v="Comoros"/>
        <s v="Congo, Dem. Rep."/>
        <s v="Congo, Rep."/>
        <s v="Costa Rica"/>
        <s v="Cote d'Ivoire"/>
        <s v="Croatia"/>
        <s v="Cyprus"/>
        <s v="Czech Republic"/>
        <s v="Denmark"/>
        <s v="Djibouti"/>
        <s v="Dominica"/>
        <s v="Dominican Republic"/>
        <s v="Ecuador"/>
        <s v="Egypt, Arab Rep."/>
        <s v="El Salvador"/>
        <s v="Equatorial Guinea"/>
        <s v="Eritrea"/>
        <s v="Estonia"/>
        <s v="Ethiopia"/>
        <s v="Fiji"/>
        <s v="Finland"/>
        <s v="France"/>
        <s v="Gabon"/>
        <s v="Gambia, The"/>
        <s v="Georgia"/>
        <s v="Germany"/>
        <s v="Ghana"/>
        <s v="Greece"/>
        <s v="Grenada"/>
        <s v="Guatemala"/>
        <s v="Guinea"/>
        <s v="Guinea-Bissau"/>
        <s v="Guyana"/>
        <s v="Haiti"/>
        <s v="Honduras"/>
        <s v="Hong Kong, China"/>
        <s v="Hungary"/>
        <s v="Iceland"/>
        <s v="India"/>
        <s v="Indonesia"/>
        <s v="Iran, Islamic Rep."/>
        <s v="Iraq"/>
        <s v="Ireland"/>
        <s v="Israel"/>
        <s v="Italy"/>
        <s v="Jamaica"/>
        <s v="Japan"/>
        <s v="Jordan"/>
        <s v="Kazakhstan"/>
        <s v="Kenya"/>
        <s v="Kiribati"/>
        <s v="Korea, Rep."/>
        <s v="Kosovo"/>
        <s v="Kuwait"/>
        <s v="Kyrgyz Republic"/>
        <s v="Lao PDR"/>
        <s v="Latvia"/>
        <s v="Lebanon"/>
        <s v="Lesotho"/>
        <s v="Liberia"/>
        <s v="Libya"/>
        <s v="Lithuania"/>
        <s v="Luxembourg"/>
        <s v="Macedonia, FYR"/>
        <s v="Madagascar"/>
        <s v="Malawi"/>
        <s v="Malaysia"/>
        <s v="Maldives"/>
        <s v="Mali"/>
        <s v="Malta"/>
        <s v="Marshall Islands"/>
        <s v="Mauritania"/>
        <s v="Mauritius"/>
        <s v="Mexico"/>
        <s v="Micronesia, Fed. Sts."/>
        <s v="Moldova"/>
        <s v="Mongolia"/>
        <s v="Montenegro"/>
        <s v="Morocco"/>
        <s v="Mozambique"/>
        <s v="Myanmar"/>
        <s v="Namibia"/>
        <s v="Nepal"/>
        <s v="Netherlands"/>
        <s v="New Zealand"/>
        <s v="Nicaragua"/>
        <s v="Niger"/>
        <s v="Nigeria"/>
        <s v="Norway"/>
        <s v="Oman"/>
        <s v="Pakistan"/>
        <s v="Palau"/>
        <s v="Panama"/>
        <s v="Papua New Guinea"/>
        <s v="Paraguay"/>
        <s v="Peru"/>
        <s v="Philippines"/>
        <s v="Poland"/>
        <s v="Portugal"/>
        <s v="Puerto Rico"/>
        <s v="Qatar"/>
        <s v="Romania"/>
        <s v="Russian Federation"/>
        <s v="Rwanda"/>
        <s v="Samoa"/>
        <s v="San Marino"/>
        <s v="Sao Tome and Principe"/>
        <s v="Saudi Arabia"/>
        <s v="Senegal"/>
        <s v="Serbia"/>
        <s v="Seychelles"/>
        <s v="Sierra Leone"/>
        <s v="Singapore"/>
        <s v="Slovak Republic"/>
        <s v="Slovenia"/>
        <s v="Solomon Islands"/>
        <s v="Somalia"/>
        <s v="South Africa"/>
        <s v="South Sudan"/>
        <s v="Spain"/>
        <s v="Sri Lanka"/>
        <s v="St. Kitts and Nevis"/>
        <s v="St. Lucia"/>
        <s v="St. Vincent and the Grenadines"/>
        <s v="Sudan"/>
        <s v="Suriname"/>
        <s v="Eswatini"/>
        <s v="Sweden"/>
        <s v="Switzerland"/>
        <s v="Syrian Arab Republic"/>
        <s v="Tajikistan"/>
        <s v="Tanzania"/>
        <s v="Thailand"/>
        <s v="Timor-Leste"/>
        <s v="Togo"/>
        <s v="Tonga"/>
        <s v="Trinidad and Tobago"/>
        <s v="Tunisia"/>
        <s v="Turkey"/>
        <s v="Uganda"/>
        <s v="Ukraine"/>
        <s v="United Arab Emirates"/>
        <s v="United Kingdom"/>
        <s v="United States"/>
        <s v="Uruguay"/>
        <s v="Uzbekistan"/>
        <s v="Vanuatu"/>
        <s v="Venezuela, RB"/>
        <s v="Vietnam"/>
        <s v="West Bank and Gaza"/>
        <s v="Yemen, Rep."/>
        <s v="Zambia"/>
        <s v="Zimbabwe"/>
        <m/>
      </sharedItems>
    </cacheField>
    <cacheField name="Ease" numFmtId="0">
      <sharedItems containsString="0" containsBlank="1" containsNumber="1" containsInteger="1" minValue="1" maxValue="190"/>
    </cacheField>
    <cacheField name="Cost" numFmtId="0">
      <sharedItems containsString="0" containsBlank="1" containsNumber="1" containsInteger="1" minValue="0" maxValue="18867"/>
    </cacheField>
    <cacheField name="Access" numFmtId="0">
      <sharedItems containsString="0" containsBlank="1" containsNumber="1" containsInteger="1" minValue="8" maxValue="100"/>
    </cacheField>
    <cacheField name="Category" numFmtId="0">
      <sharedItems containsBlank="1" count="4">
        <s v="non"/>
        <s v="sub"/>
        <s v="top"/>
        <m/>
      </sharedItems>
    </cacheField>
    <cacheField name="totalareakm2" numFmtId="0">
      <sharedItems containsBlank="1" containsMixedTypes="1" containsNumber="1" containsInteger="1" minValue="10797" maxValue="9834000"/>
    </cacheField>
    <cacheField name="csptwh" numFmtId="0">
      <sharedItems containsBlank="1" containsMixedTypes="1" containsNumber="1" containsInteger="1" minValue="0" maxValue="116100"/>
    </cacheField>
    <cacheField name="pvtwh" numFmtId="0">
      <sharedItems containsBlank="1" containsMixedTypes="1" containsNumber="1" containsInteger="1" minValue="474" maxValue="283710"/>
    </cacheField>
    <cacheField name="wind20twh" numFmtId="0">
      <sharedItems containsBlank="1" containsMixedTypes="1" containsNumber="1" containsInteger="1" minValue="0" maxValue="61661"/>
    </cacheField>
    <cacheField name="totaltwh" numFmtId="0">
      <sharedItems containsBlank="1" containsMixedTypes="1" containsNumber="1" containsInteger="1" minValue="667" maxValue="449570" count="51">
        <s v="nodata"/>
        <n v="84589"/>
        <n v="23307"/>
        <n v="4303"/>
        <n v="36627"/>
        <n v="11896"/>
        <n v="1674"/>
        <n v="14790"/>
        <n v="8834"/>
        <n v="29955"/>
        <n v="37474"/>
        <n v="6780"/>
        <n v="10976"/>
        <n v="2733"/>
        <n v="95424"/>
        <n v="706"/>
        <n v="12278"/>
        <n v="64951"/>
        <n v="5408"/>
        <n v="963"/>
        <n v="8479"/>
        <n v="5673"/>
        <n v="2523"/>
        <n v="60921"/>
        <n v="2659"/>
        <n v="667"/>
        <n v="47451"/>
        <n v="10798"/>
        <n v="11670"/>
        <n v="9829"/>
        <n v="24800"/>
        <n v="41579"/>
        <n v="49680"/>
        <n v="71095"/>
        <n v="39126"/>
        <n v="55368"/>
        <n v="1681"/>
        <n v="14510"/>
        <n v="1696"/>
        <n v="82382"/>
        <n v="126713"/>
        <n v="226900"/>
        <n v="1607"/>
        <n v="88742"/>
        <n v="1336"/>
        <n v="13532"/>
        <n v="18867"/>
        <n v="449570"/>
        <n v="46814"/>
        <n v="39695"/>
        <m/>
      </sharedItems>
    </cacheField>
    <cacheField name="twhperkm2" numFmtId="0">
      <sharedItems containsBlank="1" containsMixedTypes="1" containsNumber="1" minValue="6.9568301052390039E-3" maxValue="0.13010073955689755" count="51">
        <s v="nodata"/>
        <n v="3.6514934435082379E-2"/>
        <n v="1.8685107791915227E-2"/>
        <n v="3.7241546437257127E-2"/>
        <n v="6.3359304184167006E-2"/>
        <n v="4.3516591249126629E-2"/>
        <n v="6.211733273961928E-2"/>
        <n v="3.1718118358549846E-2"/>
        <n v="1.4243792325056433E-2"/>
        <n v="2.358733850882035E-2"/>
        <n v="1.6097175842122762E-2"/>
        <n v="1.9849285952677896E-2"/>
        <n v="3.4099452594429015E-2"/>
        <n v="0.12606670049356519"/>
        <n v="9.7129002510061624E-2"/>
        <n v="2.6160744061955756E-2"/>
        <n v="0.10055856770790676"/>
        <n v="5.7602019187961498E-2"/>
        <n v="2.0429518538805886E-2"/>
        <n v="8.9191442067240903E-2"/>
        <n v="3.5512499947646388E-2"/>
        <n v="2.3167300333645061E-2"/>
        <n v="7.4262671454641785E-2"/>
        <n v="0.10462977434208154"/>
        <n v="8.7312011558415975E-2"/>
        <n v="6.9568301052390039E-3"/>
        <n v="2.9347461049720171E-2"/>
        <n v="1.8252968769809409E-2"/>
        <n v="9.884636885704122E-2"/>
        <n v="7.8533111106494705E-3"/>
        <n v="2.3829244247831827E-2"/>
        <n v="0.10233117902726437"/>
        <n v="6.31983879831471E-2"/>
        <n v="8.6258879768989508E-2"/>
        <n v="3.3052140372337099E-2"/>
        <n v="6.0878676959716584E-2"/>
        <n v="6.6690470522891371E-2"/>
        <n v="7.3744288756410065E-2"/>
        <n v="2.3450678908216033E-2"/>
        <n v="0.13010073955689755"/>
        <n v="0.10382958290519291"/>
        <n v="9.0621276949246099E-2"/>
        <n v="9.2949274104922208E-2"/>
        <n v="9.423015254449657E-2"/>
        <n v="2.3422981170447773E-2"/>
        <n v="8.7204206836108675E-2"/>
        <n v="7.8196105736950738E-2"/>
        <n v="4.5715883668903806E-2"/>
        <n v="6.2309417488004365E-2"/>
        <n v="0.10161295689992807"/>
        <m/>
      </sharedItems>
    </cacheField>
    <cacheField name="population2017" numFmtId="0">
      <sharedItems containsString="0" containsBlank="1" containsNumber="1" containsInteger="1" minValue="0" maxValue="1386395000"/>
    </cacheField>
    <cacheField name="twhperperson" numFmtId="0">
      <sharedItems containsBlank="1" containsMixedTypes="1" containsNumber="1" minValue="1.3769200191310791E-4" maxValue="2.8058713533933698E-2" count="50">
        <s v="nodata"/>
        <n v="2.0472604987900956E-3"/>
        <n v="7.8252917579469078E-4"/>
        <n v="3.8503208570887603E-4"/>
        <n v="1.5982730430024336E-2"/>
        <n v="6.1979696960129274E-4"/>
        <n v="1.5408341766961258E-4"/>
        <n v="6.1487352874670944E-4"/>
        <n v="1.8960824883882655E-3"/>
        <n v="2.0104034941222123E-3"/>
        <n v="4.6070820664492843E-4"/>
        <n v="1.2887896212517226E-3"/>
        <n v="4.5178485063645439E-4"/>
        <n v="2.8558441354880173E-3"/>
        <n v="9.7817445179192619E-4"/>
        <n v="5.5691892885400131E-4"/>
        <n v="6.1883179732340643E-4"/>
        <n v="2.6704366173745282E-3"/>
        <n v="4.584474294571754E-4"/>
        <n v="2.9406634870692136E-4"/>
        <n v="4.460896035409119E-4"/>
        <n v="1.3555165979595794E-3"/>
        <n v="1.2257780514561591E-3"/>
        <n v="1.190593994015239E-3"/>
        <n v="1.4095799874300124E-4"/>
        <n v="7.4437424936655006E-3"/>
        <n v="4.2227696762276015E-4"/>
        <n v="6.266746228030946E-4"/>
        <n v="5.300944127865525E-4"/>
        <n v="5.610626163978694E-3"/>
        <n v="1.1633880420530963E-3"/>
        <n v="1.6744844101389358E-3"/>
        <n v="2.8058713533933698E-2"/>
        <n v="1.8217332977982198E-3"/>
        <n v="2.9005746776676931E-4"/>
        <n v="1.3769200191310791E-4"/>
        <n v="9.1542466588103756E-4"/>
        <n v="2.2442138714647678E-4"/>
        <n v="5.5880530082944415E-3"/>
        <n v="2.2341211890102527E-3"/>
        <n v="5.5978623024557812E-3"/>
        <n v="1.1753485453324694E-3"/>
        <n v="1.5484552535220762E-3"/>
        <n v="1.7133270425846411E-4"/>
        <n v="1.1734175317354727E-3"/>
        <n v="4.4017027476265169E-4"/>
        <n v="1.380238040512309E-3"/>
        <n v="2.7386009115409793E-3"/>
        <n v="2.4014053560141666E-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0">
  <r>
    <x v="0"/>
    <n v="183"/>
    <n v="2275"/>
    <n v="84"/>
    <x v="0"/>
    <s v="nodata"/>
    <s v="nodata"/>
    <s v="nodata"/>
    <s v="nodata"/>
    <x v="0"/>
    <x v="0"/>
    <n v="35530081"/>
    <x v="0"/>
  </r>
  <r>
    <x v="1"/>
    <n v="58"/>
    <n v="516"/>
    <n v="100"/>
    <x v="0"/>
    <s v="nodata"/>
    <s v="nodata"/>
    <s v="nodata"/>
    <s v="nodata"/>
    <x v="0"/>
    <x v="0"/>
    <n v="2873457"/>
    <x v="0"/>
  </r>
  <r>
    <x v="2"/>
    <n v="156"/>
    <n v="1330"/>
    <n v="99"/>
    <x v="0"/>
    <n v="2316559"/>
    <n v="26530"/>
    <n v="27904"/>
    <n v="30155"/>
    <x v="1"/>
    <x v="1"/>
    <n v="41318142"/>
    <x v="1"/>
  </r>
  <r>
    <x v="3"/>
    <n v="182"/>
    <n v="1197"/>
    <n v="41"/>
    <x v="1"/>
    <n v="1247357"/>
    <n v="9786"/>
    <n v="13319"/>
    <n v="202"/>
    <x v="2"/>
    <x v="2"/>
    <n v="29784193"/>
    <x v="2"/>
  </r>
  <r>
    <x v="4"/>
    <n v="113"/>
    <n v="118"/>
    <n v="97"/>
    <x v="0"/>
    <s v="nodata"/>
    <s v="nodata"/>
    <s v="nodata"/>
    <s v="nodata"/>
    <x v="0"/>
    <x v="0"/>
    <n v="102012"/>
    <x v="0"/>
  </r>
  <r>
    <x v="5"/>
    <n v="116"/>
    <n v="32"/>
    <n v="100"/>
    <x v="0"/>
    <s v="nodata"/>
    <s v="nodata"/>
    <s v="nodata"/>
    <s v="nodata"/>
    <x v="0"/>
    <x v="0"/>
    <n v="44271041"/>
    <x v="0"/>
  </r>
  <r>
    <x v="6"/>
    <n v="38"/>
    <n v="80"/>
    <n v="100"/>
    <x v="0"/>
    <s v="nodata"/>
    <s v="nodata"/>
    <s v="nodata"/>
    <s v="nodata"/>
    <x v="0"/>
    <x v="0"/>
    <n v="2930450"/>
    <x v="0"/>
  </r>
  <r>
    <x v="7"/>
    <n v="15"/>
    <n v="13"/>
    <n v="100"/>
    <x v="0"/>
    <s v="nodata"/>
    <s v="nodata"/>
    <s v="nodata"/>
    <s v="nodata"/>
    <x v="0"/>
    <x v="0"/>
    <n v="24598933"/>
    <x v="0"/>
  </r>
  <r>
    <x v="8"/>
    <n v="19"/>
    <n v="96"/>
    <n v="100"/>
    <x v="0"/>
    <s v="nodata"/>
    <s v="nodata"/>
    <s v="nodata"/>
    <s v="nodata"/>
    <x v="0"/>
    <x v="0"/>
    <n v="8809212"/>
    <x v="0"/>
  </r>
  <r>
    <x v="9"/>
    <n v="65"/>
    <n v="150"/>
    <n v="100"/>
    <x v="0"/>
    <s v="nodata"/>
    <s v="nodata"/>
    <s v="nodata"/>
    <s v="nodata"/>
    <x v="0"/>
    <x v="0"/>
    <n v="9862429"/>
    <x v="0"/>
  </r>
  <r>
    <x v="10"/>
    <n v="121"/>
    <n v="120"/>
    <n v="100"/>
    <x v="0"/>
    <s v="nodata"/>
    <s v="nodata"/>
    <s v="nodata"/>
    <s v="nodata"/>
    <x v="0"/>
    <x v="0"/>
    <n v="395361"/>
    <x v="0"/>
  </r>
  <r>
    <x v="11"/>
    <n v="63"/>
    <n v="67"/>
    <n v="100"/>
    <x v="0"/>
    <s v="nodata"/>
    <s v="nodata"/>
    <s v="nodata"/>
    <s v="nodata"/>
    <x v="0"/>
    <x v="0"/>
    <n v="1492584"/>
    <x v="0"/>
  </r>
  <r>
    <x v="12"/>
    <n v="176"/>
    <n v="2865"/>
    <n v="76"/>
    <x v="0"/>
    <s v="nodata"/>
    <s v="nodata"/>
    <s v="nodata"/>
    <s v="nodata"/>
    <x v="0"/>
    <x v="0"/>
    <n v="164669751"/>
    <x v="0"/>
  </r>
  <r>
    <x v="13"/>
    <n v="117"/>
    <n v="65"/>
    <n v="100"/>
    <x v="0"/>
    <s v="nodata"/>
    <s v="nodata"/>
    <s v="nodata"/>
    <s v="nodata"/>
    <x v="0"/>
    <x v="0"/>
    <n v="285719"/>
    <x v="0"/>
  </r>
  <r>
    <x v="14"/>
    <n v="37"/>
    <n v="119"/>
    <n v="100"/>
    <x v="0"/>
    <s v="nodata"/>
    <s v="nodata"/>
    <s v="nodata"/>
    <s v="nodata"/>
    <x v="0"/>
    <x v="0"/>
    <n v="9507875"/>
    <x v="0"/>
  </r>
  <r>
    <x v="15"/>
    <n v="42"/>
    <n v="102"/>
    <n v="100"/>
    <x v="0"/>
    <s v="nodata"/>
    <s v="nodata"/>
    <s v="nodata"/>
    <s v="nodata"/>
    <x v="0"/>
    <x v="0"/>
    <n v="11372068"/>
    <x v="0"/>
  </r>
  <r>
    <x v="16"/>
    <n v="112"/>
    <n v="320"/>
    <n v="92"/>
    <x v="0"/>
    <s v="nodata"/>
    <s v="nodata"/>
    <s v="nodata"/>
    <s v="nodata"/>
    <x v="0"/>
    <x v="0"/>
    <n v="374681"/>
    <x v="0"/>
  </r>
  <r>
    <x v="17"/>
    <n v="155"/>
    <n v="12582"/>
    <n v="41"/>
    <x v="1"/>
    <n v="115543"/>
    <n v="0"/>
    <n v="3898"/>
    <n v="405"/>
    <x v="3"/>
    <x v="3"/>
    <n v="11175692"/>
    <x v="3"/>
  </r>
  <r>
    <x v="18"/>
    <n v="73"/>
    <n v="525"/>
    <n v="100"/>
    <x v="0"/>
    <s v="nodata"/>
    <s v="nodata"/>
    <s v="nodata"/>
    <s v="nodata"/>
    <x v="0"/>
    <x v="0"/>
    <n v="807610"/>
    <x v="0"/>
  </r>
  <r>
    <x v="19"/>
    <n v="149"/>
    <n v="687"/>
    <n v="93"/>
    <x v="0"/>
    <s v="nodata"/>
    <s v="nodata"/>
    <s v="nodata"/>
    <s v="nodata"/>
    <x v="0"/>
    <x v="0"/>
    <n v="11051600"/>
    <x v="0"/>
  </r>
  <r>
    <x v="20"/>
    <n v="81"/>
    <n v="400"/>
    <n v="100"/>
    <x v="0"/>
    <s v="nodata"/>
    <s v="nodata"/>
    <s v="nodata"/>
    <s v="nodata"/>
    <x v="0"/>
    <x v="0"/>
    <n v="3507017"/>
    <x v="0"/>
  </r>
  <r>
    <x v="21"/>
    <n v="71"/>
    <n v="324"/>
    <n v="61"/>
    <x v="1"/>
    <n v="578084"/>
    <n v="13070"/>
    <n v="13764"/>
    <n v="9793"/>
    <x v="4"/>
    <x v="4"/>
    <n v="2291661"/>
    <x v="4"/>
  </r>
  <r>
    <x v="22"/>
    <n v="123"/>
    <n v="58"/>
    <n v="100"/>
    <x v="0"/>
    <s v="nodata"/>
    <s v="nodata"/>
    <s v="nodata"/>
    <s v="nodata"/>
    <x v="0"/>
    <x v="0"/>
    <n v="209288278"/>
    <x v="0"/>
  </r>
  <r>
    <x v="23"/>
    <n v="72"/>
    <n v="54"/>
    <n v="100"/>
    <x v="0"/>
    <s v="nodata"/>
    <s v="nodata"/>
    <s v="nodata"/>
    <s v="nodata"/>
    <x v="0"/>
    <x v="0"/>
    <n v="428697"/>
    <x v="0"/>
  </r>
  <r>
    <x v="24"/>
    <n v="39"/>
    <n v="374"/>
    <n v="100"/>
    <x v="0"/>
    <s v="nodata"/>
    <s v="nodata"/>
    <s v="nodata"/>
    <s v="nodata"/>
    <x v="0"/>
    <x v="0"/>
    <n v="7075991"/>
    <x v="0"/>
  </r>
  <r>
    <x v="25"/>
    <n v="146"/>
    <n v="10028"/>
    <n v="19"/>
    <x v="1"/>
    <n v="273367"/>
    <n v="0"/>
    <n v="7742"/>
    <n v="4154"/>
    <x v="5"/>
    <x v="5"/>
    <n v="19193382"/>
    <x v="5"/>
  </r>
  <r>
    <x v="26"/>
    <n v="157"/>
    <n v="16918"/>
    <n v="8"/>
    <x v="1"/>
    <n v="26949"/>
    <n v="786"/>
    <n v="888"/>
    <n v="0"/>
    <x v="6"/>
    <x v="6"/>
    <n v="10864245"/>
    <x v="6"/>
  </r>
  <r>
    <x v="27"/>
    <n v="131"/>
    <n v="2172"/>
    <n v="50"/>
    <x v="0"/>
    <s v="nodata"/>
    <s v="nodata"/>
    <s v="nodata"/>
    <s v="nodata"/>
    <x v="0"/>
    <x v="0"/>
    <n v="16005373"/>
    <x v="0"/>
  </r>
  <r>
    <x v="28"/>
    <n v="166"/>
    <n v="1597"/>
    <n v="60"/>
    <x v="1"/>
    <n v="466295"/>
    <n v="3706"/>
    <n v="10105"/>
    <n v="979"/>
    <x v="7"/>
    <x v="7"/>
    <n v="24053727"/>
    <x v="7"/>
  </r>
  <r>
    <x v="29"/>
    <n v="22"/>
    <n v="126"/>
    <n v="100"/>
    <x v="0"/>
    <s v="nodata"/>
    <s v="nodata"/>
    <s v="nodata"/>
    <s v="nodata"/>
    <x v="0"/>
    <x v="0"/>
    <n v="36708083"/>
    <x v="0"/>
  </r>
  <r>
    <x v="30"/>
    <n v="129"/>
    <n v="1027"/>
    <n v="93"/>
    <x v="1"/>
    <s v="nodata"/>
    <s v="nodata"/>
    <s v="nodata"/>
    <s v="nodata"/>
    <x v="0"/>
    <x v="0"/>
    <n v="546388"/>
    <x v="0"/>
  </r>
  <r>
    <x v="31"/>
    <n v="185"/>
    <n v="15810"/>
    <n v="14"/>
    <x v="1"/>
    <n v="620200"/>
    <n v="3471"/>
    <n v="5284"/>
    <n v="79"/>
    <x v="8"/>
    <x v="8"/>
    <n v="4659080"/>
    <x v="8"/>
  </r>
  <r>
    <x v="32"/>
    <n v="180"/>
    <n v="8527"/>
    <n v="9"/>
    <x v="1"/>
    <n v="1269961"/>
    <n v="10284"/>
    <n v="10506"/>
    <n v="9165"/>
    <x v="9"/>
    <x v="9"/>
    <n v="14899994"/>
    <x v="9"/>
  </r>
  <r>
    <x v="33"/>
    <n v="57"/>
    <n v="71"/>
    <n v="100"/>
    <x v="0"/>
    <s v="nodata"/>
    <s v="nodata"/>
    <s v="nodata"/>
    <s v="nodata"/>
    <x v="0"/>
    <x v="0"/>
    <n v="18054726"/>
    <x v="0"/>
  </r>
  <r>
    <x v="34"/>
    <n v="78"/>
    <n v="390"/>
    <n v="100"/>
    <x v="0"/>
    <s v="nodata"/>
    <s v="nodata"/>
    <s v="nodata"/>
    <s v="nodata"/>
    <x v="0"/>
    <x v="0"/>
    <n v="1386395000"/>
    <x v="0"/>
  </r>
  <r>
    <x v="35"/>
    <n v="53"/>
    <n v="581"/>
    <n v="99"/>
    <x v="0"/>
    <s v="nodata"/>
    <s v="nodata"/>
    <s v="nodata"/>
    <s v="nodata"/>
    <x v="0"/>
    <x v="0"/>
    <n v="49065615"/>
    <x v="0"/>
  </r>
  <r>
    <x v="36"/>
    <n v="153"/>
    <n v="2451"/>
    <n v="78"/>
    <x v="1"/>
    <s v="nodata"/>
    <s v="nodata"/>
    <s v="nodata"/>
    <s v="nodata"/>
    <x v="0"/>
    <x v="0"/>
    <n v="813912"/>
    <x v="0"/>
  </r>
  <r>
    <x v="37"/>
    <n v="184"/>
    <n v="15264"/>
    <n v="17"/>
    <x v="1"/>
    <n v="2327986"/>
    <n v="12439"/>
    <n v="22862"/>
    <n v="2173"/>
    <x v="10"/>
    <x v="10"/>
    <n v="81339988"/>
    <x v="10"/>
  </r>
  <r>
    <x v="38"/>
    <n v="177"/>
    <n v="5469"/>
    <n v="57"/>
    <x v="1"/>
    <n v="341574"/>
    <n v="2"/>
    <n v="6778"/>
    <n v="0"/>
    <x v="11"/>
    <x v="11"/>
    <n v="5260750"/>
    <x v="11"/>
  </r>
  <r>
    <x v="39"/>
    <n v="62"/>
    <n v="182"/>
    <n v="100"/>
    <x v="0"/>
    <s v="nodata"/>
    <s v="nodata"/>
    <s v="nodata"/>
    <s v="nodata"/>
    <x v="0"/>
    <x v="0"/>
    <n v="4905769"/>
    <x v="0"/>
  </r>
  <r>
    <x v="40"/>
    <n v="142"/>
    <n v="2590"/>
    <n v="64"/>
    <x v="1"/>
    <n v="321882"/>
    <n v="221"/>
    <n v="10325"/>
    <n v="430"/>
    <x v="12"/>
    <x v="12"/>
    <n v="24294750"/>
    <x v="12"/>
  </r>
  <r>
    <x v="41"/>
    <n v="43"/>
    <n v="303"/>
    <n v="100"/>
    <x v="0"/>
    <s v="nodata"/>
    <s v="nodata"/>
    <s v="nodata"/>
    <s v="nodata"/>
    <x v="0"/>
    <x v="0"/>
    <n v="4125700"/>
    <x v="0"/>
  </r>
  <r>
    <x v="42"/>
    <n v="45"/>
    <n v="130"/>
    <n v="100"/>
    <x v="0"/>
    <s v="nodata"/>
    <s v="nodata"/>
    <s v="nodata"/>
    <s v="nodata"/>
    <x v="0"/>
    <x v="0"/>
    <n v="1179551"/>
    <x v="0"/>
  </r>
  <r>
    <x v="43"/>
    <n v="27"/>
    <n v="25"/>
    <n v="100"/>
    <x v="0"/>
    <s v="nodata"/>
    <s v="nodata"/>
    <s v="nodata"/>
    <s v="nodata"/>
    <x v="0"/>
    <x v="0"/>
    <n v="10591323"/>
    <x v="0"/>
  </r>
  <r>
    <x v="44"/>
    <n v="3"/>
    <n v="109"/>
    <n v="100"/>
    <x v="2"/>
    <s v="nodata"/>
    <s v="nodata"/>
    <s v="nodata"/>
    <s v="nodata"/>
    <x v="0"/>
    <x v="0"/>
    <n v="5769603"/>
    <x v="0"/>
  </r>
  <r>
    <x v="45"/>
    <n v="171"/>
    <n v="6380"/>
    <n v="52"/>
    <x v="0"/>
    <n v="21679"/>
    <n v="852"/>
    <n v="947"/>
    <n v="934"/>
    <x v="13"/>
    <x v="13"/>
    <n v="956985"/>
    <x v="13"/>
  </r>
  <r>
    <x v="46"/>
    <n v="101"/>
    <n v="471"/>
    <n v="100"/>
    <x v="0"/>
    <s v="nodata"/>
    <s v="nodata"/>
    <s v="nodata"/>
    <s v="nodata"/>
    <x v="0"/>
    <x v="0"/>
    <n v="73925"/>
    <x v="0"/>
  </r>
  <r>
    <x v="47"/>
    <n v="103"/>
    <n v="267"/>
    <n v="100"/>
    <x v="0"/>
    <s v="nodata"/>
    <s v="nodata"/>
    <s v="nodata"/>
    <s v="nodata"/>
    <x v="0"/>
    <x v="0"/>
    <n v="10766998"/>
    <x v="0"/>
  </r>
  <r>
    <x v="48"/>
    <n v="114"/>
    <n v="606"/>
    <n v="100"/>
    <x v="0"/>
    <s v="nodata"/>
    <s v="nodata"/>
    <s v="nodata"/>
    <s v="nodata"/>
    <x v="0"/>
    <x v="0"/>
    <n v="16624858"/>
    <x v="0"/>
  </r>
  <r>
    <x v="49"/>
    <n v="122"/>
    <n v="245"/>
    <n v="100"/>
    <x v="0"/>
    <n v="982446"/>
    <n v="26605"/>
    <n v="32218"/>
    <n v="36601"/>
    <x v="14"/>
    <x v="14"/>
    <n v="97553151"/>
    <x v="14"/>
  </r>
  <r>
    <x v="50"/>
    <n v="95"/>
    <n v="502"/>
    <n v="99"/>
    <x v="0"/>
    <s v="nodata"/>
    <s v="nodata"/>
    <s v="nodata"/>
    <s v="nodata"/>
    <x v="0"/>
    <x v="0"/>
    <n v="6377853"/>
    <x v="0"/>
  </r>
  <r>
    <x v="51"/>
    <n v="178"/>
    <n v="1085"/>
    <n v="68"/>
    <x v="1"/>
    <n v="26987"/>
    <n v="0"/>
    <n v="706"/>
    <n v="0"/>
    <x v="15"/>
    <x v="15"/>
    <n v="1267689"/>
    <x v="15"/>
  </r>
  <r>
    <x v="52"/>
    <n v="189"/>
    <n v="0"/>
    <n v="47"/>
    <x v="1"/>
    <n v="122098"/>
    <n v="4349"/>
    <n v="4775"/>
    <n v="3154"/>
    <x v="16"/>
    <x v="16"/>
    <n v="0"/>
    <x v="0"/>
  </r>
  <r>
    <x v="53"/>
    <n v="12"/>
    <n v="173"/>
    <n v="100"/>
    <x v="0"/>
    <s v="nodata"/>
    <s v="nodata"/>
    <s v="nodata"/>
    <s v="nodata"/>
    <x v="0"/>
    <x v="0"/>
    <n v="1315480"/>
    <x v="0"/>
  </r>
  <r>
    <x v="54"/>
    <n v="159"/>
    <n v="1239"/>
    <n v="43"/>
    <x v="1"/>
    <n v="1127582"/>
    <n v="22959"/>
    <n v="27154"/>
    <n v="14838"/>
    <x v="17"/>
    <x v="17"/>
    <n v="104957438"/>
    <x v="16"/>
  </r>
  <r>
    <x v="55"/>
    <n v="97"/>
    <n v="1478"/>
    <n v="99"/>
    <x v="0"/>
    <s v="nodata"/>
    <s v="nodata"/>
    <s v="nodata"/>
    <s v="nodata"/>
    <x v="0"/>
    <x v="0"/>
    <n v="905502"/>
    <x v="0"/>
  </r>
  <r>
    <x v="56"/>
    <n v="13"/>
    <n v="28"/>
    <n v="100"/>
    <x v="0"/>
    <s v="nodata"/>
    <s v="nodata"/>
    <s v="nodata"/>
    <s v="nodata"/>
    <x v="0"/>
    <x v="0"/>
    <n v="5511303"/>
    <x v="0"/>
  </r>
  <r>
    <x v="57"/>
    <n v="29"/>
    <n v="6"/>
    <n v="100"/>
    <x v="0"/>
    <s v="nodata"/>
    <s v="nodata"/>
    <s v="nodata"/>
    <s v="nodata"/>
    <x v="0"/>
    <x v="0"/>
    <n v="67118648"/>
    <x v="0"/>
  </r>
  <r>
    <x v="58"/>
    <n v="164"/>
    <n v="1102"/>
    <n v="91"/>
    <x v="1"/>
    <n v="264715"/>
    <n v="6"/>
    <n v="5402"/>
    <n v="0"/>
    <x v="18"/>
    <x v="18"/>
    <n v="2025137"/>
    <x v="17"/>
  </r>
  <r>
    <x v="59"/>
    <n v="145"/>
    <n v="3569"/>
    <n v="48"/>
    <x v="1"/>
    <n v="10797"/>
    <n v="316"/>
    <n v="474"/>
    <n v="173"/>
    <x v="19"/>
    <x v="19"/>
    <n v="2100568"/>
    <x v="18"/>
  </r>
  <r>
    <x v="60"/>
    <n v="16"/>
    <n v="354"/>
    <n v="100"/>
    <x v="0"/>
    <s v="nodata"/>
    <s v="nodata"/>
    <s v="nodata"/>
    <s v="nodata"/>
    <x v="0"/>
    <x v="0"/>
    <n v="3717100"/>
    <x v="0"/>
  </r>
  <r>
    <x v="61"/>
    <n v="17"/>
    <n v="41"/>
    <n v="100"/>
    <x v="0"/>
    <s v="nodata"/>
    <s v="nodata"/>
    <s v="nodata"/>
    <s v="nodata"/>
    <x v="0"/>
    <x v="0"/>
    <n v="82695000"/>
    <x v="0"/>
  </r>
  <r>
    <x v="62"/>
    <n v="108"/>
    <n v="1266"/>
    <n v="79"/>
    <x v="1"/>
    <n v="238761"/>
    <n v="229"/>
    <n v="7644"/>
    <n v="606"/>
    <x v="20"/>
    <x v="20"/>
    <n v="28833629"/>
    <x v="19"/>
  </r>
  <r>
    <x v="63"/>
    <n v="61"/>
    <n v="70"/>
    <n v="100"/>
    <x v="0"/>
    <s v="nodata"/>
    <s v="nodata"/>
    <s v="nodata"/>
    <s v="nodata"/>
    <x v="0"/>
    <x v="0"/>
    <n v="10760421"/>
    <x v="0"/>
  </r>
  <r>
    <x v="64"/>
    <n v="138"/>
    <n v="191"/>
    <n v="92"/>
    <x v="0"/>
    <s v="nodata"/>
    <s v="nodata"/>
    <s v="nodata"/>
    <s v="nodata"/>
    <x v="0"/>
    <x v="0"/>
    <n v="107825"/>
    <x v="0"/>
  </r>
  <r>
    <x v="65"/>
    <n v="88"/>
    <n v="478"/>
    <n v="92"/>
    <x v="0"/>
    <s v="nodata"/>
    <s v="nodata"/>
    <s v="nodata"/>
    <s v="nodata"/>
    <x v="0"/>
    <x v="0"/>
    <n v="16913503"/>
    <x v="0"/>
  </r>
  <r>
    <x v="66"/>
    <n v="163"/>
    <n v="6636"/>
    <n v="34"/>
    <x v="1"/>
    <n v="244871"/>
    <n v="467"/>
    <n v="5204"/>
    <n v="2"/>
    <x v="21"/>
    <x v="21"/>
    <n v="12717176"/>
    <x v="20"/>
  </r>
  <r>
    <x v="67"/>
    <n v="172"/>
    <n v="1520"/>
    <n v="15"/>
    <x v="1"/>
    <n v="33974"/>
    <n v="906"/>
    <n v="1493"/>
    <n v="124"/>
    <x v="22"/>
    <x v="22"/>
    <n v="1861283"/>
    <x v="21"/>
  </r>
  <r>
    <x v="68"/>
    <n v="124"/>
    <n v="405"/>
    <n v="84"/>
    <x v="0"/>
    <s v="nodata"/>
    <s v="nodata"/>
    <s v="nodata"/>
    <s v="nodata"/>
    <x v="0"/>
    <x v="0"/>
    <n v="777859"/>
    <x v="0"/>
  </r>
  <r>
    <x v="69"/>
    <n v="181"/>
    <n v="3709"/>
    <n v="39"/>
    <x v="0"/>
    <s v="nodata"/>
    <s v="nodata"/>
    <s v="nodata"/>
    <s v="nodata"/>
    <x v="0"/>
    <x v="0"/>
    <n v="10981229"/>
    <x v="0"/>
  </r>
  <r>
    <x v="70"/>
    <n v="105"/>
    <n v="775"/>
    <n v="88"/>
    <x v="0"/>
    <s v="nodata"/>
    <s v="nodata"/>
    <s v="nodata"/>
    <s v="nodata"/>
    <x v="0"/>
    <x v="0"/>
    <n v="9265067"/>
    <x v="0"/>
  </r>
  <r>
    <x v="71"/>
    <n v="4"/>
    <n v="1"/>
    <n v="100"/>
    <x v="2"/>
    <s v="nodata"/>
    <s v="nodata"/>
    <s v="nodata"/>
    <s v="nodata"/>
    <x v="0"/>
    <x v="0"/>
    <n v="7391700"/>
    <x v="0"/>
  </r>
  <r>
    <x v="72"/>
    <n v="41"/>
    <n v="94"/>
    <n v="100"/>
    <x v="0"/>
    <s v="nodata"/>
    <s v="nodata"/>
    <s v="nodata"/>
    <s v="nodata"/>
    <x v="0"/>
    <x v="0"/>
    <n v="9781127"/>
    <x v="0"/>
  </r>
  <r>
    <x v="73"/>
    <n v="20"/>
    <n v="11"/>
    <n v="100"/>
    <x v="0"/>
    <s v="nodata"/>
    <s v="nodata"/>
    <s v="nodata"/>
    <s v="nodata"/>
    <x v="0"/>
    <x v="0"/>
    <n v="341284"/>
    <x v="0"/>
  </r>
  <r>
    <x v="74"/>
    <n v="130"/>
    <n v="109"/>
    <n v="85"/>
    <x v="0"/>
    <s v="nodata"/>
    <s v="nodata"/>
    <s v="nodata"/>
    <s v="nodata"/>
    <x v="0"/>
    <x v="0"/>
    <n v="1339180127"/>
    <x v="0"/>
  </r>
  <r>
    <x v="75"/>
    <n v="91"/>
    <n v="357"/>
    <n v="98"/>
    <x v="0"/>
    <s v="nodata"/>
    <s v="nodata"/>
    <s v="nodata"/>
    <s v="nodata"/>
    <x v="0"/>
    <x v="0"/>
    <n v="263991379"/>
    <x v="0"/>
  </r>
  <r>
    <x v="76"/>
    <n v="120"/>
    <n v="829"/>
    <n v="100"/>
    <x v="0"/>
    <s v="nodata"/>
    <s v="nodata"/>
    <s v="nodata"/>
    <s v="nodata"/>
    <x v="0"/>
    <x v="0"/>
    <n v="81162788"/>
    <x v="0"/>
  </r>
  <r>
    <x v="77"/>
    <n v="165"/>
    <n v="469"/>
    <n v="100"/>
    <x v="0"/>
    <s v="nodata"/>
    <s v="nodata"/>
    <s v="nodata"/>
    <s v="nodata"/>
    <x v="0"/>
    <x v="0"/>
    <n v="38274618"/>
    <x v="0"/>
  </r>
  <r>
    <x v="78"/>
    <n v="18"/>
    <n v="62"/>
    <n v="100"/>
    <x v="0"/>
    <s v="nodata"/>
    <s v="nodata"/>
    <s v="nodata"/>
    <s v="nodata"/>
    <x v="0"/>
    <x v="0"/>
    <n v="4813608"/>
    <x v="0"/>
  </r>
  <r>
    <x v="79"/>
    <n v="52"/>
    <n v="15"/>
    <n v="100"/>
    <x v="0"/>
    <s v="nodata"/>
    <s v="nodata"/>
    <s v="nodata"/>
    <s v="nodata"/>
    <x v="0"/>
    <x v="0"/>
    <n v="8712400"/>
    <x v="0"/>
  </r>
  <r>
    <x v="80"/>
    <n v="50"/>
    <n v="158"/>
    <n v="100"/>
    <x v="0"/>
    <s v="nodata"/>
    <s v="nodata"/>
    <s v="nodata"/>
    <s v="nodata"/>
    <x v="0"/>
    <x v="0"/>
    <n v="60551416"/>
    <x v="0"/>
  </r>
  <r>
    <x v="81"/>
    <n v="67"/>
    <n v="232"/>
    <n v="98"/>
    <x v="0"/>
    <s v="nodata"/>
    <s v="nodata"/>
    <s v="nodata"/>
    <s v="nodata"/>
    <x v="0"/>
    <x v="0"/>
    <n v="2890299"/>
    <x v="0"/>
  </r>
  <r>
    <x v="82"/>
    <n v="34"/>
    <n v="0"/>
    <n v="100"/>
    <x v="0"/>
    <s v="nodata"/>
    <s v="nodata"/>
    <s v="nodata"/>
    <s v="nodata"/>
    <x v="0"/>
    <x v="0"/>
    <n v="126785797"/>
    <x v="0"/>
  </r>
  <r>
    <x v="83"/>
    <n v="118"/>
    <n v="325"/>
    <n v="100"/>
    <x v="0"/>
    <s v="nodata"/>
    <s v="nodata"/>
    <s v="nodata"/>
    <s v="nodata"/>
    <x v="0"/>
    <x v="0"/>
    <n v="9702353"/>
    <x v="0"/>
  </r>
  <r>
    <x v="84"/>
    <n v="35"/>
    <n v="51"/>
    <n v="100"/>
    <x v="0"/>
    <s v="nodata"/>
    <s v="nodata"/>
    <s v="nodata"/>
    <s v="nodata"/>
    <x v="0"/>
    <x v="0"/>
    <n v="18037646"/>
    <x v="0"/>
  </r>
  <r>
    <x v="85"/>
    <n v="92"/>
    <n v="642"/>
    <n v="56"/>
    <x v="1"/>
    <n v="582253"/>
    <n v="15399"/>
    <n v="23046"/>
    <n v="22476"/>
    <x v="23"/>
    <x v="23"/>
    <n v="49699862"/>
    <x v="22"/>
  </r>
  <r>
    <x v="86"/>
    <n v="152"/>
    <n v="3229"/>
    <n v="85"/>
    <x v="0"/>
    <s v="nodata"/>
    <s v="nodata"/>
    <s v="nodata"/>
    <s v="nodata"/>
    <x v="0"/>
    <x v="0"/>
    <n v="116398"/>
    <x v="0"/>
  </r>
  <r>
    <x v="87"/>
    <n v="5"/>
    <n v="38"/>
    <n v="100"/>
    <x v="2"/>
    <s v="nodata"/>
    <s v="nodata"/>
    <s v="nodata"/>
    <s v="nodata"/>
    <x v="0"/>
    <x v="0"/>
    <n v="51466201"/>
    <x v="0"/>
  </r>
  <r>
    <x v="88"/>
    <n v="60"/>
    <n v="225"/>
    <n v="100"/>
    <x v="0"/>
    <s v="nodata"/>
    <s v="nodata"/>
    <s v="nodata"/>
    <s v="nodata"/>
    <x v="0"/>
    <x v="0"/>
    <n v="1830700"/>
    <x v="0"/>
  </r>
  <r>
    <x v="89"/>
    <n v="102"/>
    <n v="77"/>
    <n v="100"/>
    <x v="0"/>
    <s v="nodata"/>
    <s v="nodata"/>
    <s v="nodata"/>
    <s v="nodata"/>
    <x v="0"/>
    <x v="0"/>
    <n v="4136528"/>
    <x v="0"/>
  </r>
  <r>
    <x v="90"/>
    <n v="75"/>
    <n v="858"/>
    <n v="100"/>
    <x v="0"/>
    <s v="nodata"/>
    <s v="nodata"/>
    <s v="nodata"/>
    <s v="nodata"/>
    <x v="0"/>
    <x v="0"/>
    <n v="6201500"/>
    <x v="0"/>
  </r>
  <r>
    <x v="91"/>
    <n v="139"/>
    <n v="1409"/>
    <n v="87"/>
    <x v="0"/>
    <s v="nodata"/>
    <s v="nodata"/>
    <s v="nodata"/>
    <s v="nodata"/>
    <x v="0"/>
    <x v="0"/>
    <n v="6858160"/>
    <x v="0"/>
  </r>
  <r>
    <x v="92"/>
    <n v="14"/>
    <n v="290"/>
    <n v="100"/>
    <x v="0"/>
    <s v="nodata"/>
    <s v="nodata"/>
    <s v="nodata"/>
    <s v="nodata"/>
    <x v="0"/>
    <x v="0"/>
    <n v="1940740"/>
    <x v="0"/>
  </r>
  <r>
    <x v="93"/>
    <n v="126"/>
    <n v="125"/>
    <n v="100"/>
    <x v="0"/>
    <s v="nodata"/>
    <s v="nodata"/>
    <s v="nodata"/>
    <s v="nodata"/>
    <x v="0"/>
    <x v="0"/>
    <n v="6082357"/>
    <x v="0"/>
  </r>
  <r>
    <x v="94"/>
    <n v="100"/>
    <n v="1422"/>
    <n v="30"/>
    <x v="1"/>
    <n v="30454"/>
    <n v="1122"/>
    <n v="938"/>
    <n v="599"/>
    <x v="24"/>
    <x v="24"/>
    <n v="2233339"/>
    <x v="23"/>
  </r>
  <r>
    <x v="95"/>
    <n v="174"/>
    <n v="4067"/>
    <n v="20"/>
    <x v="1"/>
    <n v="95877"/>
    <n v="0"/>
    <n v="667"/>
    <n v="0"/>
    <x v="25"/>
    <x v="25"/>
    <n v="4731906"/>
    <x v="24"/>
  </r>
  <r>
    <x v="96"/>
    <n v="188"/>
    <n v="442"/>
    <n v="99"/>
    <x v="0"/>
    <n v="1616869"/>
    <n v="11823"/>
    <n v="13979"/>
    <n v="21649"/>
    <x v="26"/>
    <x v="26"/>
    <n v="6374616"/>
    <x v="25"/>
  </r>
  <r>
    <x v="97"/>
    <n v="21"/>
    <n v="44"/>
    <n v="100"/>
    <x v="0"/>
    <s v="nodata"/>
    <s v="nodata"/>
    <s v="nodata"/>
    <s v="nodata"/>
    <x v="0"/>
    <x v="0"/>
    <n v="2827721"/>
    <x v="0"/>
  </r>
  <r>
    <x v="98"/>
    <n v="59"/>
    <n v="36"/>
    <n v="100"/>
    <x v="0"/>
    <s v="nodata"/>
    <s v="nodata"/>
    <s v="nodata"/>
    <s v="nodata"/>
    <x v="0"/>
    <x v="0"/>
    <n v="599449"/>
    <x v="0"/>
  </r>
  <r>
    <x v="99"/>
    <n v="10"/>
    <n v="212"/>
    <n v="100"/>
    <x v="2"/>
    <s v="nodata"/>
    <s v="nodata"/>
    <s v="nodata"/>
    <s v="nodata"/>
    <x v="0"/>
    <x v="0"/>
    <n v="2083160"/>
    <x v="0"/>
  </r>
  <r>
    <x v="100"/>
    <n v="167"/>
    <n v="5699"/>
    <n v="23"/>
    <x v="1"/>
    <n v="591575"/>
    <n v="3194"/>
    <n v="4987"/>
    <n v="2617"/>
    <x v="27"/>
    <x v="27"/>
    <n v="25570895"/>
    <x v="26"/>
  </r>
  <r>
    <x v="101"/>
    <n v="133"/>
    <n v="2688"/>
    <n v="11"/>
    <x v="1"/>
    <n v="118062"/>
    <n v="4474"/>
    <n v="5210"/>
    <n v="1986"/>
    <x v="28"/>
    <x v="28"/>
    <n v="18622104"/>
    <x v="27"/>
  </r>
  <r>
    <x v="102"/>
    <n v="23"/>
    <n v="27"/>
    <n v="100"/>
    <x v="0"/>
    <s v="nodata"/>
    <s v="nodata"/>
    <s v="nodata"/>
    <s v="nodata"/>
    <x v="0"/>
    <x v="0"/>
    <n v="31624264"/>
    <x v="0"/>
  </r>
  <r>
    <x v="103"/>
    <n v="135"/>
    <n v="322"/>
    <n v="100"/>
    <x v="0"/>
    <s v="nodata"/>
    <s v="nodata"/>
    <s v="nodata"/>
    <s v="nodata"/>
    <x v="0"/>
    <x v="0"/>
    <n v="436330"/>
    <x v="0"/>
  </r>
  <r>
    <x v="104"/>
    <n v="141"/>
    <n v="2965"/>
    <n v="35"/>
    <x v="1"/>
    <n v="1251574"/>
    <n v="0"/>
    <n v="7906"/>
    <n v="1923"/>
    <x v="29"/>
    <x v="29"/>
    <n v="18541980"/>
    <x v="28"/>
  </r>
  <r>
    <x v="105"/>
    <n v="76"/>
    <n v="268"/>
    <n v="100"/>
    <x v="0"/>
    <s v="nodata"/>
    <s v="nodata"/>
    <s v="nodata"/>
    <s v="nodata"/>
    <x v="0"/>
    <x v="0"/>
    <n v="465292"/>
    <x v="0"/>
  </r>
  <r>
    <x v="106"/>
    <n v="143"/>
    <n v="712"/>
    <n v="93"/>
    <x v="0"/>
    <s v="nodata"/>
    <s v="nodata"/>
    <s v="nodata"/>
    <s v="nodata"/>
    <x v="0"/>
    <x v="0"/>
    <n v="53127"/>
    <x v="0"/>
  </r>
  <r>
    <x v="107"/>
    <n v="160"/>
    <n v="4735"/>
    <n v="42"/>
    <x v="1"/>
    <n v="1040738"/>
    <n v="4988"/>
    <n v="7990"/>
    <n v="11822"/>
    <x v="30"/>
    <x v="30"/>
    <n v="4420184"/>
    <x v="29"/>
  </r>
  <r>
    <x v="108"/>
    <n v="49"/>
    <n v="248"/>
    <n v="99"/>
    <x v="1"/>
    <s v="nodata"/>
    <s v="nodata"/>
    <s v="nodata"/>
    <s v="nodata"/>
    <x v="0"/>
    <x v="0"/>
    <n v="1264613"/>
    <x v="0"/>
  </r>
  <r>
    <x v="109"/>
    <n v="47"/>
    <n v="337"/>
    <n v="100"/>
    <x v="0"/>
    <s v="nodata"/>
    <s v="nodata"/>
    <s v="nodata"/>
    <s v="nodata"/>
    <x v="0"/>
    <x v="0"/>
    <n v="129163276"/>
    <x v="0"/>
  </r>
  <r>
    <x v="110"/>
    <n v="151"/>
    <n v="397"/>
    <n v="75"/>
    <x v="0"/>
    <s v="nodata"/>
    <s v="nodata"/>
    <s v="nodata"/>
    <s v="nodata"/>
    <x v="0"/>
    <x v="0"/>
    <n v="105544"/>
    <x v="0"/>
  </r>
  <r>
    <x v="111"/>
    <n v="44"/>
    <n v="738"/>
    <n v="100"/>
    <x v="0"/>
    <s v="nodata"/>
    <s v="nodata"/>
    <s v="nodata"/>
    <s v="nodata"/>
    <x v="0"/>
    <x v="0"/>
    <n v="3549750"/>
    <x v="0"/>
  </r>
  <r>
    <x v="112"/>
    <n v="64"/>
    <n v="579"/>
    <n v="82"/>
    <x v="0"/>
    <s v="nodata"/>
    <s v="nodata"/>
    <s v="nodata"/>
    <s v="nodata"/>
    <x v="0"/>
    <x v="0"/>
    <n v="3075647"/>
    <x v="0"/>
  </r>
  <r>
    <x v="113"/>
    <n v="51"/>
    <n v="441"/>
    <n v="100"/>
    <x v="0"/>
    <s v="nodata"/>
    <s v="nodata"/>
    <s v="nodata"/>
    <s v="nodata"/>
    <x v="0"/>
    <x v="0"/>
    <n v="622471"/>
    <x v="0"/>
  </r>
  <r>
    <x v="114"/>
    <n v="68"/>
    <n v="1770"/>
    <n v="100"/>
    <x v="0"/>
    <n v="406318"/>
    <n v="15127"/>
    <n v="15155"/>
    <n v="11297"/>
    <x v="31"/>
    <x v="31"/>
    <n v="35739580"/>
    <x v="30"/>
  </r>
  <r>
    <x v="115"/>
    <n v="137"/>
    <n v="2509"/>
    <n v="24"/>
    <x v="1"/>
    <n v="786096"/>
    <n v="16851"/>
    <n v="22024"/>
    <n v="10805"/>
    <x v="32"/>
    <x v="32"/>
    <n v="29668834"/>
    <x v="31"/>
  </r>
  <r>
    <x v="116"/>
    <n v="170"/>
    <n v="1270"/>
    <n v="57"/>
    <x v="0"/>
    <s v="nodata"/>
    <s v="nodata"/>
    <s v="nodata"/>
    <s v="nodata"/>
    <x v="0"/>
    <x v="0"/>
    <n v="53370609"/>
    <x v="0"/>
  </r>
  <r>
    <x v="117"/>
    <n v="108"/>
    <n v="349"/>
    <n v="52"/>
    <x v="1"/>
    <n v="824205"/>
    <n v="29716"/>
    <n v="26183"/>
    <n v="15196"/>
    <x v="33"/>
    <x v="33"/>
    <n v="2533794"/>
    <x v="32"/>
  </r>
  <r>
    <x v="118"/>
    <n v="107"/>
    <n v="1042"/>
    <n v="91"/>
    <x v="0"/>
    <s v="nodata"/>
    <s v="nodata"/>
    <s v="nodata"/>
    <s v="nodata"/>
    <x v="0"/>
    <x v="0"/>
    <n v="29304998"/>
    <x v="0"/>
  </r>
  <r>
    <x v="119"/>
    <n v="28"/>
    <n v="30"/>
    <n v="100"/>
    <x v="0"/>
    <s v="nodata"/>
    <s v="nodata"/>
    <s v="nodata"/>
    <s v="nodata"/>
    <x v="0"/>
    <x v="0"/>
    <n v="17132854"/>
    <x v="0"/>
  </r>
  <r>
    <x v="120"/>
    <n v="1"/>
    <n v="76"/>
    <n v="100"/>
    <x v="2"/>
    <s v="nodata"/>
    <s v="nodata"/>
    <s v="nodata"/>
    <s v="nodata"/>
    <x v="0"/>
    <x v="0"/>
    <n v="4793900"/>
    <x v="0"/>
  </r>
  <r>
    <x v="121"/>
    <n v="127"/>
    <n v="904"/>
    <n v="82"/>
    <x v="0"/>
    <s v="nodata"/>
    <s v="nodata"/>
    <s v="nodata"/>
    <s v="nodata"/>
    <x v="0"/>
    <x v="0"/>
    <n v="6217581"/>
    <x v="0"/>
  </r>
  <r>
    <x v="122"/>
    <n v="150"/>
    <n v="5427"/>
    <n v="16"/>
    <x v="1"/>
    <n v="1183766"/>
    <n v="8829"/>
    <n v="15669"/>
    <n v="14628"/>
    <x v="34"/>
    <x v="34"/>
    <n v="21477348"/>
    <x v="33"/>
  </r>
  <r>
    <x v="123"/>
    <n v="169"/>
    <n v="440"/>
    <n v="59"/>
    <x v="1"/>
    <n v="909481"/>
    <n v="10045"/>
    <n v="32456"/>
    <n v="12867"/>
    <x v="35"/>
    <x v="35"/>
    <n v="190886311"/>
    <x v="34"/>
  </r>
  <r>
    <x v="124"/>
    <n v="6"/>
    <n v="11"/>
    <n v="100"/>
    <x v="2"/>
    <s v="nodata"/>
    <s v="nodata"/>
    <s v="nodata"/>
    <s v="nodata"/>
    <x v="0"/>
    <x v="0"/>
    <n v="5282223"/>
    <x v="0"/>
  </r>
  <r>
    <x v="125"/>
    <n v="66"/>
    <n v="81"/>
    <n v="100"/>
    <x v="0"/>
    <s v="nodata"/>
    <s v="nodata"/>
    <s v="nodata"/>
    <s v="nodata"/>
    <x v="0"/>
    <x v="0"/>
    <n v="4636262"/>
    <x v="0"/>
  </r>
  <r>
    <x v="126"/>
    <n v="144"/>
    <n v="1772"/>
    <n v="99"/>
    <x v="0"/>
    <s v="nodata"/>
    <s v="nodata"/>
    <s v="nodata"/>
    <s v="nodata"/>
    <x v="0"/>
    <x v="0"/>
    <n v="197015955"/>
    <x v="0"/>
  </r>
  <r>
    <x v="127"/>
    <n v="136"/>
    <n v="65"/>
    <n v="99"/>
    <x v="0"/>
    <s v="nodata"/>
    <s v="nodata"/>
    <s v="nodata"/>
    <s v="nodata"/>
    <x v="0"/>
    <x v="0"/>
    <n v="21729"/>
    <x v="0"/>
  </r>
  <r>
    <x v="128"/>
    <n v="70"/>
    <n v="9"/>
    <n v="93"/>
    <x v="0"/>
    <s v="nodata"/>
    <s v="nodata"/>
    <s v="nodata"/>
    <s v="nodata"/>
    <x v="0"/>
    <x v="0"/>
    <n v="4098587"/>
    <x v="0"/>
  </r>
  <r>
    <x v="129"/>
    <n v="119"/>
    <n v="38"/>
    <n v="23"/>
    <x v="0"/>
    <s v="nodata"/>
    <s v="nodata"/>
    <s v="nodata"/>
    <s v="nodata"/>
    <x v="0"/>
    <x v="0"/>
    <n v="8251162"/>
    <x v="0"/>
  </r>
  <r>
    <x v="130"/>
    <n v="106"/>
    <n v="152"/>
    <n v="98"/>
    <x v="0"/>
    <s v="nodata"/>
    <s v="nodata"/>
    <s v="nodata"/>
    <s v="nodata"/>
    <x v="0"/>
    <x v="0"/>
    <n v="6811297"/>
    <x v="0"/>
  </r>
  <r>
    <x v="131"/>
    <n v="54"/>
    <n v="336"/>
    <n v="95"/>
    <x v="0"/>
    <s v="nodata"/>
    <s v="nodata"/>
    <s v="nodata"/>
    <s v="nodata"/>
    <x v="0"/>
    <x v="0"/>
    <n v="32165485"/>
    <x v="0"/>
  </r>
  <r>
    <x v="132"/>
    <n v="99"/>
    <n v="26"/>
    <n v="91"/>
    <x v="0"/>
    <s v="nodata"/>
    <s v="nodata"/>
    <s v="nodata"/>
    <s v="nodata"/>
    <x v="0"/>
    <x v="0"/>
    <n v="104918090"/>
    <x v="0"/>
  </r>
  <r>
    <x v="133"/>
    <n v="24"/>
    <n v="19"/>
    <n v="100"/>
    <x v="0"/>
    <s v="nodata"/>
    <s v="nodata"/>
    <s v="nodata"/>
    <s v="nodata"/>
    <x v="0"/>
    <x v="0"/>
    <n v="37975841"/>
    <x v="0"/>
  </r>
  <r>
    <x v="134"/>
    <n v="25"/>
    <n v="37"/>
    <n v="100"/>
    <x v="0"/>
    <s v="nodata"/>
    <s v="nodata"/>
    <s v="nodata"/>
    <s v="nodata"/>
    <x v="0"/>
    <x v="0"/>
    <n v="10293718"/>
    <x v="0"/>
  </r>
  <r>
    <x v="135"/>
    <n v="55"/>
    <n v="354"/>
    <n v="100"/>
    <x v="0"/>
    <s v="nodata"/>
    <s v="nodata"/>
    <s v="nodata"/>
    <s v="nodata"/>
    <x v="0"/>
    <x v="0"/>
    <n v="3337177"/>
    <x v="0"/>
  </r>
  <r>
    <x v="136"/>
    <n v="83"/>
    <n v="11"/>
    <n v="100"/>
    <x v="0"/>
    <s v="nodata"/>
    <s v="nodata"/>
    <s v="nodata"/>
    <s v="nodata"/>
    <x v="0"/>
    <x v="0"/>
    <n v="2639211"/>
    <x v="0"/>
  </r>
  <r>
    <x v="137"/>
    <n v="36"/>
    <n v="547"/>
    <n v="100"/>
    <x v="0"/>
    <s v="nodata"/>
    <s v="nodata"/>
    <s v="nodata"/>
    <s v="nodata"/>
    <x v="0"/>
    <x v="0"/>
    <n v="19586539"/>
    <x v="0"/>
  </r>
  <r>
    <x v="138"/>
    <n v="40"/>
    <n v="44"/>
    <n v="100"/>
    <x v="0"/>
    <s v="nodata"/>
    <s v="nodata"/>
    <s v="nodata"/>
    <s v="nodata"/>
    <x v="0"/>
    <x v="0"/>
    <n v="144495044"/>
    <x v="0"/>
  </r>
  <r>
    <x v="139"/>
    <n v="56"/>
    <n v="2723"/>
    <n v="29"/>
    <x v="1"/>
    <n v="25206"/>
    <n v="789"/>
    <n v="892"/>
    <n v="0"/>
    <x v="36"/>
    <x v="36"/>
    <n v="12208407"/>
    <x v="35"/>
  </r>
  <r>
    <x v="140"/>
    <n v="89"/>
    <n v="642"/>
    <n v="100"/>
    <x v="0"/>
    <s v="nodata"/>
    <s v="nodata"/>
    <s v="nodata"/>
    <s v="nodata"/>
    <x v="0"/>
    <x v="0"/>
    <n v="196440"/>
    <x v="0"/>
  </r>
  <r>
    <x v="141"/>
    <n v="79"/>
    <n v="59"/>
    <n v="100"/>
    <x v="0"/>
    <s v="nodata"/>
    <s v="nodata"/>
    <s v="nodata"/>
    <s v="nodata"/>
    <x v="0"/>
    <x v="0"/>
    <n v="33400"/>
    <x v="0"/>
  </r>
  <r>
    <x v="142"/>
    <n v="162"/>
    <n v="420"/>
    <n v="65"/>
    <x v="1"/>
    <s v="nodata"/>
    <s v="nodata"/>
    <s v="nodata"/>
    <s v="nodata"/>
    <x v="0"/>
    <x v="0"/>
    <n v="204327"/>
    <x v="0"/>
  </r>
  <r>
    <x v="143"/>
    <n v="94"/>
    <n v="31"/>
    <n v="100"/>
    <x v="0"/>
    <s v="nodata"/>
    <s v="nodata"/>
    <s v="nodata"/>
    <s v="nodata"/>
    <x v="0"/>
    <x v="0"/>
    <n v="32938213"/>
    <x v="0"/>
  </r>
  <r>
    <x v="144"/>
    <n v="147"/>
    <n v="3822"/>
    <n v="65"/>
    <x v="1"/>
    <n v="196761"/>
    <n v="1537"/>
    <n v="7519"/>
    <n v="5454"/>
    <x v="37"/>
    <x v="37"/>
    <n v="15850567"/>
    <x v="36"/>
  </r>
  <r>
    <x v="145"/>
    <n v="47"/>
    <n v="236"/>
    <n v="100"/>
    <x v="0"/>
    <s v="nodata"/>
    <s v="nodata"/>
    <s v="nodata"/>
    <s v="nodata"/>
    <x v="0"/>
    <x v="0"/>
    <n v="7022268"/>
    <x v="0"/>
  </r>
  <r>
    <x v="146"/>
    <n v="93"/>
    <n v="365"/>
    <n v="100"/>
    <x v="1"/>
    <s v="nodata"/>
    <s v="nodata"/>
    <s v="nodata"/>
    <s v="nodata"/>
    <x v="0"/>
    <x v="0"/>
    <n v="95843"/>
    <x v="0"/>
  </r>
  <r>
    <x v="147"/>
    <n v="148"/>
    <n v="4224"/>
    <n v="20"/>
    <x v="1"/>
    <n v="72322"/>
    <n v="197"/>
    <n v="1499"/>
    <n v="0"/>
    <x v="38"/>
    <x v="38"/>
    <n v="7557212"/>
    <x v="37"/>
  </r>
  <r>
    <x v="148"/>
    <n v="2"/>
    <n v="26"/>
    <n v="100"/>
    <x v="2"/>
    <s v="nodata"/>
    <s v="nodata"/>
    <s v="nodata"/>
    <s v="nodata"/>
    <x v="0"/>
    <x v="0"/>
    <n v="5612253"/>
    <x v="0"/>
  </r>
  <r>
    <x v="149"/>
    <n v="33"/>
    <n v="53"/>
    <n v="100"/>
    <x v="0"/>
    <s v="nodata"/>
    <s v="nodata"/>
    <s v="nodata"/>
    <s v="nodata"/>
    <x v="0"/>
    <x v="0"/>
    <n v="5439892"/>
    <x v="0"/>
  </r>
  <r>
    <x v="150"/>
    <n v="30"/>
    <n v="110"/>
    <n v="100"/>
    <x v="0"/>
    <s v="nodata"/>
    <s v="nodata"/>
    <s v="nodata"/>
    <s v="nodata"/>
    <x v="0"/>
    <x v="0"/>
    <n v="2066748"/>
    <x v="0"/>
  </r>
  <r>
    <x v="151"/>
    <n v="104"/>
    <n v="1254"/>
    <n v="48"/>
    <x v="0"/>
    <s v="nodata"/>
    <s v="nodata"/>
    <s v="nodata"/>
    <s v="nodata"/>
    <x v="0"/>
    <x v="0"/>
    <n v="611343"/>
    <x v="0"/>
  </r>
  <r>
    <x v="152"/>
    <n v="190"/>
    <n v="0"/>
    <n v="30"/>
    <x v="1"/>
    <n v="633217"/>
    <n v="13156"/>
    <n v="25687"/>
    <n v="43539"/>
    <x v="39"/>
    <x v="39"/>
    <n v="14742523"/>
    <x v="38"/>
  </r>
  <r>
    <x v="153"/>
    <n v="74"/>
    <n v="156"/>
    <n v="84"/>
    <x v="1"/>
    <n v="1220394"/>
    <n v="43275"/>
    <n v="42243"/>
    <n v="41195"/>
    <x v="40"/>
    <x v="40"/>
    <n v="56717156"/>
    <x v="39"/>
  </r>
  <r>
    <x v="154"/>
    <n v="186"/>
    <n v="0"/>
    <n v="9"/>
    <x v="1"/>
    <s v="nodata"/>
    <s v="nodata"/>
    <s v="nodata"/>
    <s v="nodata"/>
    <x v="0"/>
    <x v="0"/>
    <n v="12575714"/>
    <x v="0"/>
  </r>
  <r>
    <x v="155"/>
    <n v="32"/>
    <n v="103"/>
    <n v="100"/>
    <x v="0"/>
    <s v="nodata"/>
    <s v="nodata"/>
    <s v="nodata"/>
    <s v="nodata"/>
    <x v="0"/>
    <x v="0"/>
    <n v="46572028"/>
    <x v="0"/>
  </r>
  <r>
    <x v="156"/>
    <n v="110"/>
    <n v="769"/>
    <n v="96"/>
    <x v="0"/>
    <s v="nodata"/>
    <s v="nodata"/>
    <s v="nodata"/>
    <s v="nodata"/>
    <x v="0"/>
    <x v="0"/>
    <n v="21444000"/>
    <x v="0"/>
  </r>
  <r>
    <x v="157"/>
    <n v="134"/>
    <n v="241"/>
    <n v="100"/>
    <x v="0"/>
    <s v="nodata"/>
    <s v="nodata"/>
    <s v="nodata"/>
    <s v="nodata"/>
    <x v="0"/>
    <x v="0"/>
    <n v="55345"/>
    <x v="0"/>
  </r>
  <r>
    <x v="158"/>
    <n v="86"/>
    <n v="193"/>
    <n v="98"/>
    <x v="0"/>
    <s v="nodata"/>
    <s v="nodata"/>
    <s v="nodata"/>
    <s v="nodata"/>
    <x v="0"/>
    <x v="0"/>
    <n v="178844"/>
    <x v="0"/>
  </r>
  <r>
    <x v="159"/>
    <n v="125"/>
    <n v="57"/>
    <n v="100"/>
    <x v="0"/>
    <s v="nodata"/>
    <s v="nodata"/>
    <s v="nodata"/>
    <s v="nodata"/>
    <x v="0"/>
    <x v="0"/>
    <n v="109897"/>
    <x v="0"/>
  </r>
  <r>
    <x v="160"/>
    <n v="168"/>
    <n v="2687"/>
    <n v="39"/>
    <x v="1"/>
    <n v="2503827"/>
    <n v="77422"/>
    <n v="87817"/>
    <n v="61661"/>
    <x v="41"/>
    <x v="41"/>
    <n v="40533330"/>
    <x v="40"/>
  </r>
  <r>
    <x v="161"/>
    <n v="158"/>
    <n v="484"/>
    <n v="87"/>
    <x v="0"/>
    <s v="nodata"/>
    <s v="nodata"/>
    <s v="nodata"/>
    <s v="nodata"/>
    <x v="0"/>
    <x v="0"/>
    <n v="563402"/>
    <x v="0"/>
  </r>
  <r>
    <x v="162"/>
    <n v="111"/>
    <n v="740"/>
    <n v="66"/>
    <x v="1"/>
    <n v="17289"/>
    <n v="559"/>
    <n v="572"/>
    <n v="476"/>
    <x v="42"/>
    <x v="42"/>
    <n v="1367254"/>
    <x v="41"/>
  </r>
  <r>
    <x v="163"/>
    <n v="9"/>
    <n v="32"/>
    <n v="100"/>
    <x v="2"/>
    <s v="nodata"/>
    <s v="nodata"/>
    <s v="nodata"/>
    <s v="nodata"/>
    <x v="0"/>
    <x v="0"/>
    <n v="10067744"/>
    <x v="0"/>
  </r>
  <r>
    <x v="164"/>
    <n v="31"/>
    <n v="59"/>
    <n v="100"/>
    <x v="0"/>
    <s v="nodata"/>
    <s v="nodata"/>
    <s v="nodata"/>
    <s v="nodata"/>
    <x v="0"/>
    <x v="0"/>
    <n v="8466017"/>
    <x v="0"/>
  </r>
  <r>
    <x v="165"/>
    <n v="173"/>
    <n v="312"/>
    <n v="100"/>
    <x v="0"/>
    <s v="nodata"/>
    <s v="nodata"/>
    <s v="nodata"/>
    <s v="nodata"/>
    <x v="0"/>
    <x v="0"/>
    <n v="18269868"/>
    <x v="0"/>
  </r>
  <r>
    <x v="166"/>
    <n v="128"/>
    <n v="743"/>
    <n v="100"/>
    <x v="0"/>
    <s v="nodata"/>
    <s v="nodata"/>
    <s v="nodata"/>
    <s v="nodata"/>
    <x v="0"/>
    <x v="0"/>
    <n v="8921343"/>
    <x v="0"/>
  </r>
  <r>
    <x v="167"/>
    <n v="132"/>
    <n v="948"/>
    <n v="33"/>
    <x v="1"/>
    <n v="941758"/>
    <n v="31482"/>
    <n v="38804"/>
    <n v="18456"/>
    <x v="43"/>
    <x v="43"/>
    <n v="57310019"/>
    <x v="42"/>
  </r>
  <r>
    <x v="168"/>
    <n v="46"/>
    <n v="43"/>
    <n v="100"/>
    <x v="0"/>
    <s v="nodata"/>
    <s v="nodata"/>
    <s v="nodata"/>
    <s v="nodata"/>
    <x v="0"/>
    <x v="0"/>
    <n v="69037513"/>
    <x v="0"/>
  </r>
  <r>
    <x v="169"/>
    <n v="175"/>
    <n v="1218"/>
    <n v="63"/>
    <x v="0"/>
    <s v="nodata"/>
    <s v="nodata"/>
    <s v="nodata"/>
    <s v="nodata"/>
    <x v="0"/>
    <x v="0"/>
    <n v="1296311"/>
    <x v="0"/>
  </r>
  <r>
    <x v="170"/>
    <n v="154"/>
    <n v="5508"/>
    <n v="47"/>
    <x v="1"/>
    <n v="57038"/>
    <n v="0"/>
    <n v="1257"/>
    <n v="79"/>
    <x v="44"/>
    <x v="44"/>
    <n v="7797694"/>
    <x v="43"/>
  </r>
  <r>
    <x v="171"/>
    <n v="85"/>
    <n v="86"/>
    <n v="97"/>
    <x v="0"/>
    <s v="nodata"/>
    <s v="nodata"/>
    <s v="nodata"/>
    <s v="nodata"/>
    <x v="0"/>
    <x v="0"/>
    <n v="108020"/>
    <x v="0"/>
  </r>
  <r>
    <x v="172"/>
    <n v="96"/>
    <n v="177"/>
    <n v="100"/>
    <x v="0"/>
    <s v="nodata"/>
    <s v="nodata"/>
    <s v="nodata"/>
    <s v="nodata"/>
    <x v="0"/>
    <x v="0"/>
    <n v="1369125"/>
    <x v="0"/>
  </r>
  <r>
    <x v="173"/>
    <n v="77"/>
    <n v="697"/>
    <n v="100"/>
    <x v="0"/>
    <n v="155176"/>
    <n v="2045"/>
    <n v="4645"/>
    <n v="6842"/>
    <x v="45"/>
    <x v="45"/>
    <n v="11532127"/>
    <x v="44"/>
  </r>
  <r>
    <x v="174"/>
    <n v="69"/>
    <n v="600"/>
    <n v="100"/>
    <x v="0"/>
    <s v="nodata"/>
    <s v="nodata"/>
    <s v="nodata"/>
    <s v="nodata"/>
    <x v="0"/>
    <x v="0"/>
    <n v="80745020"/>
    <x v="0"/>
  </r>
  <r>
    <x v="175"/>
    <n v="115"/>
    <n v="8449"/>
    <n v="27"/>
    <x v="1"/>
    <n v="241278"/>
    <n v="8582"/>
    <n v="9470"/>
    <n v="815"/>
    <x v="46"/>
    <x v="46"/>
    <n v="42862958"/>
    <x v="45"/>
  </r>
  <r>
    <x v="176"/>
    <n v="80"/>
    <n v="638"/>
    <n v="100"/>
    <x v="0"/>
    <s v="nodata"/>
    <s v="nodata"/>
    <s v="nodata"/>
    <s v="nodata"/>
    <x v="0"/>
    <x v="0"/>
    <n v="44831159"/>
    <x v="0"/>
  </r>
  <r>
    <x v="177"/>
    <n v="26"/>
    <n v="25"/>
    <n v="100"/>
    <x v="0"/>
    <s v="nodata"/>
    <s v="nodata"/>
    <s v="nodata"/>
    <s v="nodata"/>
    <x v="0"/>
    <x v="0"/>
    <n v="9400145"/>
    <x v="0"/>
  </r>
  <r>
    <x v="178"/>
    <n v="7"/>
    <n v="26"/>
    <n v="100"/>
    <x v="2"/>
    <s v="nodata"/>
    <s v="nodata"/>
    <s v="nodata"/>
    <s v="nodata"/>
    <x v="0"/>
    <x v="0"/>
    <n v="66022273"/>
    <x v="0"/>
  </r>
  <r>
    <x v="179"/>
    <n v="8"/>
    <n v="24"/>
    <n v="100"/>
    <x v="2"/>
    <n v="9834000"/>
    <n v="116100"/>
    <n v="283710"/>
    <n v="49760"/>
    <x v="47"/>
    <x v="47"/>
    <n v="325719178"/>
    <x v="46"/>
  </r>
  <r>
    <x v="180"/>
    <n v="90"/>
    <n v="13"/>
    <n v="100"/>
    <x v="0"/>
    <s v="nodata"/>
    <s v="nodata"/>
    <s v="nodata"/>
    <s v="nodata"/>
    <x v="0"/>
    <x v="0"/>
    <n v="3456750"/>
    <x v="0"/>
  </r>
  <r>
    <x v="181"/>
    <n v="87"/>
    <n v="1233"/>
    <n v="100"/>
    <x v="0"/>
    <s v="nodata"/>
    <s v="nodata"/>
    <s v="nodata"/>
    <s v="nodata"/>
    <x v="0"/>
    <x v="0"/>
    <n v="32387200"/>
    <x v="0"/>
  </r>
  <r>
    <x v="182"/>
    <n v="83"/>
    <n v="1091"/>
    <n v="58"/>
    <x v="0"/>
    <s v="nodata"/>
    <s v="nodata"/>
    <s v="nodata"/>
    <s v="nodata"/>
    <x v="0"/>
    <x v="0"/>
    <n v="276244"/>
    <x v="0"/>
  </r>
  <r>
    <x v="183"/>
    <n v="187"/>
    <n v="18867"/>
    <n v="100"/>
    <x v="0"/>
    <s v="nodata"/>
    <s v="nodata"/>
    <s v="nodata"/>
    <s v="nodata"/>
    <x v="0"/>
    <x v="0"/>
    <n v="31977065"/>
    <x v="0"/>
  </r>
  <r>
    <x v="184"/>
    <n v="82"/>
    <n v="1261"/>
    <n v="100"/>
    <x v="0"/>
    <s v="nodata"/>
    <s v="nodata"/>
    <s v="nodata"/>
    <s v="nodata"/>
    <x v="0"/>
    <x v="0"/>
    <n v="95540800"/>
    <x v="0"/>
  </r>
  <r>
    <x v="185"/>
    <n v="140"/>
    <n v="1541"/>
    <n v="100"/>
    <x v="0"/>
    <s v="nodata"/>
    <s v="nodata"/>
    <s v="nodata"/>
    <s v="nodata"/>
    <x v="0"/>
    <x v="0"/>
    <n v="4684777"/>
    <x v="0"/>
  </r>
  <r>
    <x v="186"/>
    <n v="179"/>
    <n v="0"/>
    <n v="72"/>
    <x v="0"/>
    <s v="nodata"/>
    <s v="nodata"/>
    <s v="nodata"/>
    <s v="nodata"/>
    <x v="0"/>
    <x v="0"/>
    <n v="28250420"/>
    <x v="0"/>
  </r>
  <r>
    <x v="187"/>
    <n v="98"/>
    <n v="610"/>
    <n v="27"/>
    <x v="1"/>
    <n v="751315"/>
    <n v="15691"/>
    <n v="17894"/>
    <n v="13229"/>
    <x v="48"/>
    <x v="48"/>
    <n v="17094130"/>
    <x v="47"/>
  </r>
  <r>
    <x v="188"/>
    <n v="161"/>
    <n v="2958"/>
    <n v="38"/>
    <x v="1"/>
    <n v="390649"/>
    <n v="11874"/>
    <n v="15684"/>
    <n v="12137"/>
    <x v="49"/>
    <x v="49"/>
    <n v="16529904"/>
    <x v="48"/>
  </r>
  <r>
    <x v="189"/>
    <m/>
    <m/>
    <m/>
    <x v="3"/>
    <m/>
    <m/>
    <m/>
    <m/>
    <x v="50"/>
    <x v="50"/>
    <m/>
    <x v="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52" firstHeaderRow="0" firstDataRow="1" firstDataCol="1" rowPageCount="1" colPageCount="1"/>
  <pivotFields count="13">
    <pivotField axis="axisRow" showAll="0">
      <items count="1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30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16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showAll="0"/>
    <pivotField showAll="0"/>
    <pivotField showAll="0"/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dataField="1" showAll="0">
      <items count="52">
        <item x="25"/>
        <item x="15"/>
        <item x="19"/>
        <item x="44"/>
        <item x="42"/>
        <item x="6"/>
        <item x="36"/>
        <item x="38"/>
        <item x="22"/>
        <item x="24"/>
        <item x="13"/>
        <item x="3"/>
        <item x="18"/>
        <item x="21"/>
        <item x="11"/>
        <item x="20"/>
        <item x="8"/>
        <item x="29"/>
        <item x="27"/>
        <item x="12"/>
        <item x="28"/>
        <item x="5"/>
        <item x="16"/>
        <item x="45"/>
        <item x="37"/>
        <item x="7"/>
        <item x="46"/>
        <item x="2"/>
        <item x="30"/>
        <item x="9"/>
        <item x="4"/>
        <item x="10"/>
        <item x="34"/>
        <item x="49"/>
        <item x="31"/>
        <item x="48"/>
        <item x="26"/>
        <item x="32"/>
        <item x="35"/>
        <item x="23"/>
        <item x="17"/>
        <item x="33"/>
        <item x="39"/>
        <item x="1"/>
        <item x="43"/>
        <item x="14"/>
        <item x="40"/>
        <item x="41"/>
        <item x="47"/>
        <item x="0"/>
        <item x="50"/>
        <item t="default"/>
      </items>
    </pivotField>
    <pivotField dataField="1" showAll="0">
      <items count="52">
        <item x="25"/>
        <item x="29"/>
        <item x="8"/>
        <item x="10"/>
        <item x="27"/>
        <item x="2"/>
        <item x="11"/>
        <item x="18"/>
        <item x="21"/>
        <item x="44"/>
        <item x="38"/>
        <item x="9"/>
        <item x="30"/>
        <item x="15"/>
        <item x="26"/>
        <item x="7"/>
        <item x="34"/>
        <item x="12"/>
        <item x="20"/>
        <item x="1"/>
        <item x="3"/>
        <item x="5"/>
        <item x="47"/>
        <item x="17"/>
        <item x="35"/>
        <item x="6"/>
        <item x="48"/>
        <item x="32"/>
        <item x="4"/>
        <item x="36"/>
        <item x="37"/>
        <item x="22"/>
        <item x="46"/>
        <item x="33"/>
        <item x="45"/>
        <item x="24"/>
        <item x="19"/>
        <item x="41"/>
        <item x="42"/>
        <item x="43"/>
        <item x="14"/>
        <item x="28"/>
        <item x="16"/>
        <item x="49"/>
        <item x="31"/>
        <item x="40"/>
        <item x="23"/>
        <item x="13"/>
        <item x="39"/>
        <item x="0"/>
        <item x="50"/>
        <item t="default"/>
      </items>
    </pivotField>
    <pivotField showAll="0"/>
    <pivotField dataField="1" showAll="0">
      <items count="51">
        <item x="35"/>
        <item x="24"/>
        <item x="6"/>
        <item x="43"/>
        <item x="37"/>
        <item x="34"/>
        <item x="19"/>
        <item x="3"/>
        <item x="26"/>
        <item x="45"/>
        <item x="20"/>
        <item x="12"/>
        <item x="18"/>
        <item x="10"/>
        <item x="28"/>
        <item x="15"/>
        <item x="7"/>
        <item x="16"/>
        <item x="5"/>
        <item x="27"/>
        <item x="2"/>
        <item x="36"/>
        <item x="14"/>
        <item x="30"/>
        <item x="44"/>
        <item x="41"/>
        <item x="23"/>
        <item x="22"/>
        <item x="11"/>
        <item x="21"/>
        <item x="46"/>
        <item x="42"/>
        <item x="31"/>
        <item x="33"/>
        <item x="8"/>
        <item x="9"/>
        <item x="1"/>
        <item x="39"/>
        <item x="48"/>
        <item x="17"/>
        <item x="47"/>
        <item x="13"/>
        <item x="38"/>
        <item x="40"/>
        <item x="29"/>
        <item x="25"/>
        <item x="4"/>
        <item x="32"/>
        <item x="0"/>
        <item x="49"/>
        <item t="default"/>
      </items>
    </pivotField>
  </pivotFields>
  <rowFields count="1">
    <field x="0"/>
  </rowFields>
  <rowItems count="49">
    <i>
      <x v="3"/>
    </i>
    <i>
      <x v="17"/>
    </i>
    <i>
      <x v="21"/>
    </i>
    <i>
      <x v="25"/>
    </i>
    <i>
      <x v="26"/>
    </i>
    <i>
      <x v="27"/>
    </i>
    <i>
      <x v="29"/>
    </i>
    <i>
      <x v="31"/>
    </i>
    <i>
      <x v="32"/>
    </i>
    <i>
      <x v="36"/>
    </i>
    <i>
      <x v="37"/>
    </i>
    <i>
      <x v="38"/>
    </i>
    <i>
      <x v="40"/>
    </i>
    <i>
      <x v="51"/>
    </i>
    <i>
      <x v="52"/>
    </i>
    <i>
      <x v="54"/>
    </i>
    <i>
      <x v="55"/>
    </i>
    <i>
      <x v="59"/>
    </i>
    <i>
      <x v="60"/>
    </i>
    <i>
      <x v="63"/>
    </i>
    <i>
      <x v="67"/>
    </i>
    <i>
      <x v="68"/>
    </i>
    <i>
      <x v="86"/>
    </i>
    <i>
      <x v="95"/>
    </i>
    <i>
      <x v="96"/>
    </i>
    <i>
      <x v="101"/>
    </i>
    <i>
      <x v="102"/>
    </i>
    <i>
      <x v="105"/>
    </i>
    <i>
      <x v="108"/>
    </i>
    <i>
      <x v="109"/>
    </i>
    <i>
      <x v="116"/>
    </i>
    <i>
      <x v="118"/>
    </i>
    <i>
      <x v="123"/>
    </i>
    <i>
      <x v="124"/>
    </i>
    <i>
      <x v="140"/>
    </i>
    <i>
      <x v="143"/>
    </i>
    <i>
      <x v="145"/>
    </i>
    <i>
      <x v="147"/>
    </i>
    <i>
      <x v="148"/>
    </i>
    <i>
      <x v="153"/>
    </i>
    <i>
      <x v="154"/>
    </i>
    <i>
      <x v="155"/>
    </i>
    <i>
      <x v="161"/>
    </i>
    <i>
      <x v="167"/>
    </i>
    <i>
      <x v="170"/>
    </i>
    <i>
      <x v="175"/>
    </i>
    <i>
      <x v="187"/>
    </i>
    <i>
      <x v="18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4" hier="-1"/>
  </pageFields>
  <dataFields count="3">
    <dataField name="Sum of totaltwh" fld="9" baseField="0" baseItem="0"/>
    <dataField name="Sum of twhperkm2" fld="10" baseField="0" baseItem="0" numFmtId="164"/>
    <dataField name="Sum of twhperperson" fld="12" baseField="0" baseItem="0" numFmtId="164"/>
  </dataFields>
  <formats count="1">
    <format dxfId="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O190"/>
  <sheetViews>
    <sheetView workbookViewId="0">
      <pane xSplit="1" ySplit="1" topLeftCell="J12" activePane="bottomRight" state="frozen"/>
      <selection pane="topRight" activeCell="B1" sqref="B1"/>
      <selection pane="bottomLeft" activeCell="A2" sqref="A2"/>
      <selection pane="bottomRight" activeCell="L41" sqref="L41"/>
    </sheetView>
  </sheetViews>
  <sheetFormatPr baseColWidth="10" defaultRowHeight="16" x14ac:dyDescent="0.2"/>
  <cols>
    <col min="1" max="1" width="27" bestFit="1" customWidth="1"/>
    <col min="6" max="6" width="14.6640625" bestFit="1" customWidth="1"/>
    <col min="7" max="7" width="9.5" bestFit="1" customWidth="1"/>
    <col min="8" max="8" width="8.6640625" bestFit="1" customWidth="1"/>
    <col min="9" max="9" width="12.83203125" bestFit="1" customWidth="1"/>
    <col min="10" max="10" width="10.6640625" bestFit="1" customWidth="1"/>
    <col min="11" max="11" width="12.1640625" bestFit="1" customWidth="1"/>
    <col min="12" max="12" width="16.33203125" bestFit="1" customWidth="1"/>
    <col min="13" max="13" width="12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205</v>
      </c>
      <c r="M1" t="s">
        <v>202</v>
      </c>
    </row>
    <row r="2" spans="1:13" hidden="1" x14ac:dyDescent="0.2">
      <c r="A2" t="s">
        <v>127</v>
      </c>
      <c r="B2">
        <v>1</v>
      </c>
      <c r="C2">
        <v>76</v>
      </c>
      <c r="D2">
        <v>100</v>
      </c>
      <c r="E2" t="s">
        <v>51</v>
      </c>
      <c r="F2" t="str">
        <f>IFERROR(VLOOKUP($A2,[1]data!$A$2:$G$51,2,FALSE),"nodata")</f>
        <v>nodata</v>
      </c>
      <c r="G2" t="str">
        <f>IFERROR(VLOOKUP($A2,[1]data!$A$2:$G$51,3,FALSE),"nodata")</f>
        <v>nodata</v>
      </c>
      <c r="H2" t="str">
        <f>IFERROR(VLOOKUP($A2,[1]data!$A$2:$G$51,4,FALSE),"nodata")</f>
        <v>nodata</v>
      </c>
      <c r="I2" t="str">
        <f>IFERROR(VLOOKUP($A2,[1]data!$A$2:$G$51,5,FALSE),"nodata")</f>
        <v>nodata</v>
      </c>
      <c r="J2" t="str">
        <f>IFERROR(VLOOKUP($A2,[1]data!$A$2:$G$51,6,FALSE),"nodata")</f>
        <v>nodata</v>
      </c>
      <c r="K2" t="str">
        <f>IFERROR(VLOOKUP($A2,[1]data!$A$2:$G$51,7,FALSE),"nodata")</f>
        <v>nodata</v>
      </c>
      <c r="L2">
        <v>4793900</v>
      </c>
      <c r="M2" t="str">
        <f>IFERROR(J2/L2,"nodata")</f>
        <v>nodata</v>
      </c>
    </row>
    <row r="3" spans="1:13" hidden="1" x14ac:dyDescent="0.2">
      <c r="A3" t="s">
        <v>155</v>
      </c>
      <c r="B3">
        <v>2</v>
      </c>
      <c r="C3">
        <v>26</v>
      </c>
      <c r="D3">
        <v>100</v>
      </c>
      <c r="E3" t="s">
        <v>51</v>
      </c>
      <c r="F3" t="str">
        <f>IFERROR(VLOOKUP($A3,[1]data!$A$2:$G$51,2,FALSE),"nodata")</f>
        <v>nodata</v>
      </c>
      <c r="G3" t="str">
        <f>IFERROR(VLOOKUP($A3,[1]data!$A$2:$G$51,3,FALSE),"nodata")</f>
        <v>nodata</v>
      </c>
      <c r="H3" t="str">
        <f>IFERROR(VLOOKUP($A3,[1]data!$A$2:$G$51,4,FALSE),"nodata")</f>
        <v>nodata</v>
      </c>
      <c r="I3" t="str">
        <f>IFERROR(VLOOKUP($A3,[1]data!$A$2:$G$51,5,FALSE),"nodata")</f>
        <v>nodata</v>
      </c>
      <c r="J3" t="str">
        <f>IFERROR(VLOOKUP($A3,[1]data!$A$2:$G$51,6,FALSE),"nodata")</f>
        <v>nodata</v>
      </c>
      <c r="K3" t="str">
        <f>IFERROR(VLOOKUP($A3,[1]data!$A$2:$G$51,7,FALSE),"nodata")</f>
        <v>nodata</v>
      </c>
      <c r="L3">
        <v>5612253</v>
      </c>
      <c r="M3" t="str">
        <f>IFERROR(J3/L3,"nodata")</f>
        <v>nodata</v>
      </c>
    </row>
    <row r="4" spans="1:13" hidden="1" x14ac:dyDescent="0.2">
      <c r="A4" t="s">
        <v>50</v>
      </c>
      <c r="B4">
        <v>3</v>
      </c>
      <c r="C4">
        <v>109</v>
      </c>
      <c r="D4">
        <v>100</v>
      </c>
      <c r="E4" t="s">
        <v>51</v>
      </c>
      <c r="F4" t="str">
        <f>IFERROR(VLOOKUP($A4,[1]data!$A$2:$G$51,2,FALSE),"nodata")</f>
        <v>nodata</v>
      </c>
      <c r="G4" t="str">
        <f>IFERROR(VLOOKUP($A4,[1]data!$A$2:$G$51,3,FALSE),"nodata")</f>
        <v>nodata</v>
      </c>
      <c r="H4" t="str">
        <f>IFERROR(VLOOKUP($A4,[1]data!$A$2:$G$51,4,FALSE),"nodata")</f>
        <v>nodata</v>
      </c>
      <c r="I4" t="str">
        <f>IFERROR(VLOOKUP($A4,[1]data!$A$2:$G$51,5,FALSE),"nodata")</f>
        <v>nodata</v>
      </c>
      <c r="J4" t="str">
        <f>IFERROR(VLOOKUP($A4,[1]data!$A$2:$G$51,6,FALSE),"nodata")</f>
        <v>nodata</v>
      </c>
      <c r="K4" t="str">
        <f>IFERROR(VLOOKUP($A4,[1]data!$A$2:$G$51,7,FALSE),"nodata")</f>
        <v>nodata</v>
      </c>
      <c r="L4">
        <v>5769603</v>
      </c>
      <c r="M4" t="str">
        <f>IFERROR(J4/L4,"nodata")</f>
        <v>nodata</v>
      </c>
    </row>
    <row r="5" spans="1:13" hidden="1" x14ac:dyDescent="0.2">
      <c r="A5" t="s">
        <v>78</v>
      </c>
      <c r="B5">
        <v>4</v>
      </c>
      <c r="C5">
        <v>1</v>
      </c>
      <c r="D5">
        <v>100</v>
      </c>
      <c r="E5" t="s">
        <v>51</v>
      </c>
      <c r="F5" t="str">
        <f>IFERROR(VLOOKUP($A5,[1]data!$A$2:$G$51,2,FALSE),"nodata")</f>
        <v>nodata</v>
      </c>
      <c r="G5" t="str">
        <f>IFERROR(VLOOKUP($A5,[1]data!$A$2:$G$51,3,FALSE),"nodata")</f>
        <v>nodata</v>
      </c>
      <c r="H5" t="str">
        <f>IFERROR(VLOOKUP($A5,[1]data!$A$2:$G$51,4,FALSE),"nodata")</f>
        <v>nodata</v>
      </c>
      <c r="I5" t="str">
        <f>IFERROR(VLOOKUP($A5,[1]data!$A$2:$G$51,5,FALSE),"nodata")</f>
        <v>nodata</v>
      </c>
      <c r="J5" t="str">
        <f>IFERROR(VLOOKUP($A5,[1]data!$A$2:$G$51,6,FALSE),"nodata")</f>
        <v>nodata</v>
      </c>
      <c r="K5" t="str">
        <f>IFERROR(VLOOKUP($A5,[1]data!$A$2:$G$51,7,FALSE),"nodata")</f>
        <v>nodata</v>
      </c>
      <c r="L5">
        <v>7391700</v>
      </c>
      <c r="M5" t="str">
        <f>IFERROR(J5/L5,"nodata")</f>
        <v>nodata</v>
      </c>
    </row>
    <row r="6" spans="1:13" hidden="1" x14ac:dyDescent="0.2">
      <c r="A6" t="s">
        <v>94</v>
      </c>
      <c r="B6">
        <v>5</v>
      </c>
      <c r="C6">
        <v>38</v>
      </c>
      <c r="D6">
        <v>100</v>
      </c>
      <c r="E6" t="s">
        <v>51</v>
      </c>
      <c r="F6" t="str">
        <f>IFERROR(VLOOKUP($A6,[1]data!$A$2:$G$51,2,FALSE),"nodata")</f>
        <v>nodata</v>
      </c>
      <c r="G6" t="str">
        <f>IFERROR(VLOOKUP($A6,[1]data!$A$2:$G$51,3,FALSE),"nodata")</f>
        <v>nodata</v>
      </c>
      <c r="H6" t="str">
        <f>IFERROR(VLOOKUP($A6,[1]data!$A$2:$G$51,4,FALSE),"nodata")</f>
        <v>nodata</v>
      </c>
      <c r="I6" t="str">
        <f>IFERROR(VLOOKUP($A6,[1]data!$A$2:$G$51,5,FALSE),"nodata")</f>
        <v>nodata</v>
      </c>
      <c r="J6" t="str">
        <f>IFERROR(VLOOKUP($A6,[1]data!$A$2:$G$51,6,FALSE),"nodata")</f>
        <v>nodata</v>
      </c>
      <c r="K6" t="str">
        <f>IFERROR(VLOOKUP($A6,[1]data!$A$2:$G$51,7,FALSE),"nodata")</f>
        <v>nodata</v>
      </c>
      <c r="L6">
        <v>51466201</v>
      </c>
      <c r="M6" t="str">
        <f>IFERROR(J6/L6,"nodata")</f>
        <v>nodata</v>
      </c>
    </row>
    <row r="7" spans="1:13" hidden="1" x14ac:dyDescent="0.2">
      <c r="A7" t="s">
        <v>131</v>
      </c>
      <c r="B7">
        <v>6</v>
      </c>
      <c r="C7">
        <v>11</v>
      </c>
      <c r="D7">
        <v>100</v>
      </c>
      <c r="E7" t="s">
        <v>51</v>
      </c>
      <c r="F7" t="str">
        <f>IFERROR(VLOOKUP($A7,[1]data!$A$2:$G$51,2,FALSE),"nodata")</f>
        <v>nodata</v>
      </c>
      <c r="G7" t="str">
        <f>IFERROR(VLOOKUP($A7,[1]data!$A$2:$G$51,3,FALSE),"nodata")</f>
        <v>nodata</v>
      </c>
      <c r="H7" t="str">
        <f>IFERROR(VLOOKUP($A7,[1]data!$A$2:$G$51,4,FALSE),"nodata")</f>
        <v>nodata</v>
      </c>
      <c r="I7" t="str">
        <f>IFERROR(VLOOKUP($A7,[1]data!$A$2:$G$51,5,FALSE),"nodata")</f>
        <v>nodata</v>
      </c>
      <c r="J7" t="str">
        <f>IFERROR(VLOOKUP($A7,[1]data!$A$2:$G$51,6,FALSE),"nodata")</f>
        <v>nodata</v>
      </c>
      <c r="K7" t="str">
        <f>IFERROR(VLOOKUP($A7,[1]data!$A$2:$G$51,7,FALSE),"nodata")</f>
        <v>nodata</v>
      </c>
      <c r="L7">
        <v>5282223</v>
      </c>
      <c r="M7" t="str">
        <f>IFERROR(J7/L7,"nodata")</f>
        <v>nodata</v>
      </c>
    </row>
    <row r="8" spans="1:13" hidden="1" x14ac:dyDescent="0.2">
      <c r="A8" t="s">
        <v>184</v>
      </c>
      <c r="B8">
        <v>7</v>
      </c>
      <c r="C8">
        <v>26</v>
      </c>
      <c r="D8">
        <v>100</v>
      </c>
      <c r="E8" t="s">
        <v>51</v>
      </c>
      <c r="F8" t="str">
        <f>IFERROR(VLOOKUP($A8,[1]data!$A$2:$G$51,2,FALSE),"nodata")</f>
        <v>nodata</v>
      </c>
      <c r="G8" t="str">
        <f>IFERROR(VLOOKUP($A8,[1]data!$A$2:$G$51,3,FALSE),"nodata")</f>
        <v>nodata</v>
      </c>
      <c r="H8" t="str">
        <f>IFERROR(VLOOKUP($A8,[1]data!$A$2:$G$51,4,FALSE),"nodata")</f>
        <v>nodata</v>
      </c>
      <c r="I8" t="str">
        <f>IFERROR(VLOOKUP($A8,[1]data!$A$2:$G$51,5,FALSE),"nodata")</f>
        <v>nodata</v>
      </c>
      <c r="J8" t="str">
        <f>IFERROR(VLOOKUP($A8,[1]data!$A$2:$G$51,6,FALSE),"nodata")</f>
        <v>nodata</v>
      </c>
      <c r="K8" t="str">
        <f>IFERROR(VLOOKUP($A8,[1]data!$A$2:$G$51,7,FALSE),"nodata")</f>
        <v>nodata</v>
      </c>
      <c r="L8">
        <v>66022273</v>
      </c>
      <c r="M8" t="str">
        <f>IFERROR(J8/L8,"nodata")</f>
        <v>nodata</v>
      </c>
    </row>
    <row r="9" spans="1:13" hidden="1" x14ac:dyDescent="0.2">
      <c r="A9" t="s">
        <v>185</v>
      </c>
      <c r="B9">
        <v>8</v>
      </c>
      <c r="C9">
        <v>24</v>
      </c>
      <c r="D9">
        <v>100</v>
      </c>
      <c r="E9" t="s">
        <v>51</v>
      </c>
      <c r="F9">
        <f>IFERROR(VLOOKUP($A9,[1]data!$A$2:$G$51,2,FALSE),"nodata")</f>
        <v>9834000</v>
      </c>
      <c r="G9">
        <f>IFERROR(VLOOKUP($A9,[1]data!$A$2:$G$51,3,FALSE),"nodata")</f>
        <v>116100</v>
      </c>
      <c r="H9">
        <f>IFERROR(VLOOKUP($A9,[1]data!$A$2:$G$51,4,FALSE),"nodata")</f>
        <v>283710</v>
      </c>
      <c r="I9">
        <f>IFERROR(VLOOKUP($A9,[1]data!$A$2:$G$51,5,FALSE),"nodata")</f>
        <v>49760</v>
      </c>
      <c r="J9">
        <f>IFERROR(VLOOKUP($A9,[1]data!$A$2:$G$51,6,FALSE),"nodata")</f>
        <v>449570</v>
      </c>
      <c r="K9">
        <f>IFERROR(VLOOKUP($A9,[1]data!$A$2:$G$51,7,FALSE),"nodata")</f>
        <v>4.5715883668903806E-2</v>
      </c>
      <c r="L9">
        <v>325719178</v>
      </c>
      <c r="M9">
        <f>IFERROR(J9/L9,"nodata")</f>
        <v>1.380238040512309E-3</v>
      </c>
    </row>
    <row r="10" spans="1:13" hidden="1" x14ac:dyDescent="0.2">
      <c r="A10" t="s">
        <v>169</v>
      </c>
      <c r="B10">
        <v>9</v>
      </c>
      <c r="C10">
        <v>32</v>
      </c>
      <c r="D10">
        <v>100</v>
      </c>
      <c r="E10" t="s">
        <v>51</v>
      </c>
      <c r="F10" t="str">
        <f>IFERROR(VLOOKUP($A10,[1]data!$A$2:$G$51,2,FALSE),"nodata")</f>
        <v>nodata</v>
      </c>
      <c r="G10" t="str">
        <f>IFERROR(VLOOKUP($A10,[1]data!$A$2:$G$51,3,FALSE),"nodata")</f>
        <v>nodata</v>
      </c>
      <c r="H10" t="str">
        <f>IFERROR(VLOOKUP($A10,[1]data!$A$2:$G$51,4,FALSE),"nodata")</f>
        <v>nodata</v>
      </c>
      <c r="I10" t="str">
        <f>IFERROR(VLOOKUP($A10,[1]data!$A$2:$G$51,5,FALSE),"nodata")</f>
        <v>nodata</v>
      </c>
      <c r="J10" t="str">
        <f>IFERROR(VLOOKUP($A10,[1]data!$A$2:$G$51,6,FALSE),"nodata")</f>
        <v>nodata</v>
      </c>
      <c r="K10" t="str">
        <f>IFERROR(VLOOKUP($A10,[1]data!$A$2:$G$51,7,FALSE),"nodata")</f>
        <v>nodata</v>
      </c>
      <c r="L10">
        <v>10067744</v>
      </c>
      <c r="M10" t="str">
        <f>IFERROR(J10/L10,"nodata")</f>
        <v>nodata</v>
      </c>
    </row>
    <row r="11" spans="1:13" hidden="1" x14ac:dyDescent="0.2">
      <c r="A11" t="s">
        <v>106</v>
      </c>
      <c r="B11">
        <v>10</v>
      </c>
      <c r="C11">
        <v>212</v>
      </c>
      <c r="D11">
        <v>100</v>
      </c>
      <c r="E11" t="s">
        <v>51</v>
      </c>
      <c r="F11" t="str">
        <f>IFERROR(VLOOKUP($A11,[1]data!$A$2:$G$51,2,FALSE),"nodata")</f>
        <v>nodata</v>
      </c>
      <c r="G11" t="str">
        <f>IFERROR(VLOOKUP($A11,[1]data!$A$2:$G$51,3,FALSE),"nodata")</f>
        <v>nodata</v>
      </c>
      <c r="H11" t="str">
        <f>IFERROR(VLOOKUP($A11,[1]data!$A$2:$G$51,4,FALSE),"nodata")</f>
        <v>nodata</v>
      </c>
      <c r="I11" t="str">
        <f>IFERROR(VLOOKUP($A11,[1]data!$A$2:$G$51,5,FALSE),"nodata")</f>
        <v>nodata</v>
      </c>
      <c r="J11" t="str">
        <f>IFERROR(VLOOKUP($A11,[1]data!$A$2:$G$51,6,FALSE),"nodata")</f>
        <v>nodata</v>
      </c>
      <c r="K11" t="str">
        <f>IFERROR(VLOOKUP($A11,[1]data!$A$2:$G$51,7,FALSE),"nodata")</f>
        <v>nodata</v>
      </c>
      <c r="L11">
        <v>2083160</v>
      </c>
      <c r="M11" t="str">
        <f>IFERROR(J11/L11,"nodata")</f>
        <v>nodata</v>
      </c>
    </row>
    <row r="12" spans="1:13" x14ac:dyDescent="0.2">
      <c r="A12" t="s">
        <v>159</v>
      </c>
      <c r="B12">
        <v>190</v>
      </c>
      <c r="C12">
        <v>0</v>
      </c>
      <c r="D12">
        <v>30</v>
      </c>
      <c r="E12" t="s">
        <v>10</v>
      </c>
      <c r="F12">
        <f>IFERROR(VLOOKUP($A12,[1]data!$A$2:$G$51,2,FALSE),"nodata")</f>
        <v>633217</v>
      </c>
      <c r="G12">
        <f>IFERROR(VLOOKUP($A12,[1]data!$A$2:$G$51,3,FALSE),"nodata")</f>
        <v>13156</v>
      </c>
      <c r="H12">
        <f>IFERROR(VLOOKUP($A12,[1]data!$A$2:$G$51,4,FALSE),"nodata")</f>
        <v>25687</v>
      </c>
      <c r="I12">
        <f>IFERROR(VLOOKUP($A12,[1]data!$A$2:$G$51,5,FALSE),"nodata")</f>
        <v>43539</v>
      </c>
      <c r="J12">
        <f>IFERROR(VLOOKUP($A12,[1]data!$A$2:$G$51,6,FALSE),"nodata")</f>
        <v>82382</v>
      </c>
      <c r="K12">
        <f>IFERROR(VLOOKUP($A12,[1]data!$A$2:$G$51,7,FALSE),"nodata")</f>
        <v>0.13010073955689755</v>
      </c>
      <c r="L12">
        <v>14742523</v>
      </c>
      <c r="M12">
        <f>IFERROR(J12/L12,"nodata")</f>
        <v>5.5880530082944415E-3</v>
      </c>
    </row>
    <row r="13" spans="1:13" x14ac:dyDescent="0.2">
      <c r="A13" t="s">
        <v>59</v>
      </c>
      <c r="B13">
        <v>189</v>
      </c>
      <c r="C13">
        <v>0</v>
      </c>
      <c r="D13">
        <v>47</v>
      </c>
      <c r="E13" t="s">
        <v>10</v>
      </c>
      <c r="F13">
        <f>IFERROR(VLOOKUP($A13,[1]data!$A$2:$G$51,2,FALSE),"nodata")</f>
        <v>122098</v>
      </c>
      <c r="G13">
        <f>IFERROR(VLOOKUP($A13,[1]data!$A$2:$G$51,3,FALSE),"nodata")</f>
        <v>4349</v>
      </c>
      <c r="H13">
        <f>IFERROR(VLOOKUP($A13,[1]data!$A$2:$G$51,4,FALSE),"nodata")</f>
        <v>4775</v>
      </c>
      <c r="I13">
        <f>IFERROR(VLOOKUP($A13,[1]data!$A$2:$G$51,5,FALSE),"nodata")</f>
        <v>3154</v>
      </c>
      <c r="J13">
        <f>IFERROR(VLOOKUP($A13,[1]data!$A$2:$G$51,6,FALSE),"nodata")</f>
        <v>12278</v>
      </c>
      <c r="K13">
        <f>IFERROR(VLOOKUP($A13,[1]data!$A$2:$G$51,7,FALSE),"nodata")</f>
        <v>0.10055856770790676</v>
      </c>
      <c r="L13">
        <v>4954645</v>
      </c>
      <c r="M13">
        <f>IFERROR(J13/L13,"nodata")</f>
        <v>2.4780786514472784E-3</v>
      </c>
    </row>
    <row r="14" spans="1:13" x14ac:dyDescent="0.2">
      <c r="A14" t="s">
        <v>103</v>
      </c>
      <c r="B14">
        <v>188</v>
      </c>
      <c r="C14">
        <v>442</v>
      </c>
      <c r="D14">
        <v>99</v>
      </c>
      <c r="E14" t="s">
        <v>6</v>
      </c>
      <c r="F14">
        <f>IFERROR(VLOOKUP($A14,[1]data!$A$2:$G$51,2,FALSE),"nodata")</f>
        <v>1616869</v>
      </c>
      <c r="G14">
        <f>IFERROR(VLOOKUP($A14,[1]data!$A$2:$G$51,3,FALSE),"nodata")</f>
        <v>11823</v>
      </c>
      <c r="H14">
        <f>IFERROR(VLOOKUP($A14,[1]data!$A$2:$G$51,4,FALSE),"nodata")</f>
        <v>13979</v>
      </c>
      <c r="I14">
        <f>IFERROR(VLOOKUP($A14,[1]data!$A$2:$G$51,5,FALSE),"nodata")</f>
        <v>21649</v>
      </c>
      <c r="J14">
        <f>IFERROR(VLOOKUP($A14,[1]data!$A$2:$G$51,6,FALSE),"nodata")</f>
        <v>47451</v>
      </c>
      <c r="K14">
        <f>IFERROR(VLOOKUP($A14,[1]data!$A$2:$G$51,7,FALSE),"nodata")</f>
        <v>2.9347461049720171E-2</v>
      </c>
      <c r="L14">
        <v>6374616</v>
      </c>
      <c r="M14">
        <f>IFERROR(J14/L14,"nodata")</f>
        <v>7.4437424936655006E-3</v>
      </c>
    </row>
    <row r="15" spans="1:13" x14ac:dyDescent="0.2">
      <c r="A15" t="s">
        <v>189</v>
      </c>
      <c r="B15">
        <v>187</v>
      </c>
      <c r="C15">
        <v>18867</v>
      </c>
      <c r="D15">
        <v>100</v>
      </c>
      <c r="E15" t="s">
        <v>6</v>
      </c>
      <c r="F15" t="str">
        <f>IFERROR(VLOOKUP($A15,[1]data!$A$2:$G$51,2,FALSE),"nodata")</f>
        <v>nodata</v>
      </c>
      <c r="G15" t="str">
        <f>IFERROR(VLOOKUP($A15,[1]data!$A$2:$G$51,3,FALSE),"nodata")</f>
        <v>nodata</v>
      </c>
      <c r="H15" t="str">
        <f>IFERROR(VLOOKUP($A15,[1]data!$A$2:$G$51,4,FALSE),"nodata")</f>
        <v>nodata</v>
      </c>
      <c r="I15" t="str">
        <f>IFERROR(VLOOKUP($A15,[1]data!$A$2:$G$51,5,FALSE),"nodata")</f>
        <v>nodata</v>
      </c>
      <c r="J15" t="str">
        <f>IFERROR(VLOOKUP($A15,[1]data!$A$2:$G$51,6,FALSE),"nodata")</f>
        <v>nodata</v>
      </c>
      <c r="K15" t="str">
        <f>IFERROR(VLOOKUP($A15,[1]data!$A$2:$G$51,7,FALSE),"nodata")</f>
        <v>nodata</v>
      </c>
      <c r="L15">
        <v>31977065</v>
      </c>
      <c r="M15" t="str">
        <f>IFERROR(J15/L15,"nodata")</f>
        <v>nodata</v>
      </c>
    </row>
    <row r="16" spans="1:13" x14ac:dyDescent="0.2">
      <c r="A16" t="s">
        <v>161</v>
      </c>
      <c r="B16">
        <v>186</v>
      </c>
      <c r="C16">
        <v>0</v>
      </c>
      <c r="D16">
        <v>9</v>
      </c>
      <c r="E16" t="s">
        <v>10</v>
      </c>
      <c r="F16">
        <f>IFERROR(VLOOKUP($A16,[1]data!$A$2:$G$51,2,FALSE),"nodata")</f>
        <v>619745</v>
      </c>
      <c r="G16">
        <f>IFERROR(VLOOKUP($A16,[1]data!$A$2:$G$51,3,FALSE),"nodata")</f>
        <v>19163.423587172754</v>
      </c>
      <c r="H16">
        <f>IFERROR(VLOOKUP($A16,[1]data!$A$2:$G$51,4,FALSE),"nodata")</f>
        <v>21736.384608441396</v>
      </c>
      <c r="I16">
        <f>IFERROR(VLOOKUP($A16,[1]data!$A$2:$G$51,5,FALSE),"nodata")</f>
        <v>15262.275087296366</v>
      </c>
      <c r="J16">
        <f>IFERROR(VLOOKUP($A16,[1]data!$A$2:$G$51,6,FALSE),"nodata")</f>
        <v>56162.08328291052</v>
      </c>
      <c r="K16">
        <f>IFERROR(VLOOKUP($A16,[1]data!$A$2:$G$51,7,FALSE),"nodata")</f>
        <v>9.0621276949246099E-2</v>
      </c>
      <c r="L16">
        <v>12575714</v>
      </c>
      <c r="M16">
        <f>IFERROR(J16/L16,"nodata")</f>
        <v>4.4659160730683382E-3</v>
      </c>
    </row>
    <row r="17" spans="1:13" x14ac:dyDescent="0.2">
      <c r="A17" s="7" t="s">
        <v>37</v>
      </c>
      <c r="B17">
        <v>185</v>
      </c>
      <c r="C17">
        <v>15810</v>
      </c>
      <c r="D17">
        <v>14</v>
      </c>
      <c r="E17" t="s">
        <v>10</v>
      </c>
      <c r="F17">
        <f>IFERROR(VLOOKUP($A17,[1]data!$A$2:$G$51,2,FALSE),"nodata")</f>
        <v>620200</v>
      </c>
      <c r="G17">
        <f>IFERROR(VLOOKUP($A17,[1]data!$A$2:$G$51,3,FALSE),"nodata")</f>
        <v>3471</v>
      </c>
      <c r="H17">
        <f>IFERROR(VLOOKUP($A17,[1]data!$A$2:$G$51,4,FALSE),"nodata")</f>
        <v>5284</v>
      </c>
      <c r="I17">
        <f>IFERROR(VLOOKUP($A17,[1]data!$A$2:$G$51,5,FALSE),"nodata")</f>
        <v>79</v>
      </c>
      <c r="J17">
        <f>IFERROR(VLOOKUP($A17,[1]data!$A$2:$G$51,6,FALSE),"nodata")</f>
        <v>8834</v>
      </c>
      <c r="K17">
        <f>IFERROR(VLOOKUP($A17,[1]data!$A$2:$G$51,7,FALSE),"nodata")</f>
        <v>1.4243792325056433E-2</v>
      </c>
      <c r="L17">
        <v>4659080</v>
      </c>
      <c r="M17">
        <f>IFERROR(J17/L17,"nodata")</f>
        <v>1.8960824883882655E-3</v>
      </c>
    </row>
    <row r="18" spans="1:13" x14ac:dyDescent="0.2">
      <c r="A18" t="s">
        <v>43</v>
      </c>
      <c r="B18">
        <v>184</v>
      </c>
      <c r="C18">
        <v>15264</v>
      </c>
      <c r="D18">
        <v>17</v>
      </c>
      <c r="E18" t="s">
        <v>10</v>
      </c>
      <c r="F18">
        <f>IFERROR(VLOOKUP($A18,[1]data!$A$2:$G$51,2,FALSE),"nodata")</f>
        <v>2327986</v>
      </c>
      <c r="G18">
        <f>IFERROR(VLOOKUP($A18,[1]data!$A$2:$G$51,3,FALSE),"nodata")</f>
        <v>12439</v>
      </c>
      <c r="H18">
        <f>IFERROR(VLOOKUP($A18,[1]data!$A$2:$G$51,4,FALSE),"nodata")</f>
        <v>22862</v>
      </c>
      <c r="I18">
        <f>IFERROR(VLOOKUP($A18,[1]data!$A$2:$G$51,5,FALSE),"nodata")</f>
        <v>2173</v>
      </c>
      <c r="J18">
        <f>IFERROR(VLOOKUP($A18,[1]data!$A$2:$G$51,6,FALSE),"nodata")</f>
        <v>37474</v>
      </c>
      <c r="K18">
        <f>IFERROR(VLOOKUP($A18,[1]data!$A$2:$G$51,7,FALSE),"nodata")</f>
        <v>1.6097175842122762E-2</v>
      </c>
      <c r="L18">
        <v>81339988</v>
      </c>
      <c r="M18">
        <f>IFERROR(J18/L18,"nodata")</f>
        <v>4.6070820664492843E-4</v>
      </c>
    </row>
    <row r="19" spans="1:13" x14ac:dyDescent="0.2">
      <c r="A19" t="s">
        <v>5</v>
      </c>
      <c r="B19">
        <v>183</v>
      </c>
      <c r="C19">
        <v>2275</v>
      </c>
      <c r="D19">
        <v>84</v>
      </c>
      <c r="E19" t="s">
        <v>6</v>
      </c>
      <c r="F19" t="str">
        <f>IFERROR(VLOOKUP($A19,[1]data!$A$2:$G$51,2,FALSE),"nodata")</f>
        <v>nodata</v>
      </c>
      <c r="G19" t="str">
        <f>IFERROR(VLOOKUP($A19,[1]data!$A$2:$G$51,3,FALSE),"nodata")</f>
        <v>nodata</v>
      </c>
      <c r="H19" t="str">
        <f>IFERROR(VLOOKUP($A19,[1]data!$A$2:$G$51,4,FALSE),"nodata")</f>
        <v>nodata</v>
      </c>
      <c r="I19" t="str">
        <f>IFERROR(VLOOKUP($A19,[1]data!$A$2:$G$51,5,FALSE),"nodata")</f>
        <v>nodata</v>
      </c>
      <c r="J19" t="str">
        <f>IFERROR(VLOOKUP($A19,[1]data!$A$2:$G$51,6,FALSE),"nodata")</f>
        <v>nodata</v>
      </c>
      <c r="K19" t="str">
        <f>IFERROR(VLOOKUP($A19,[1]data!$A$2:$G$51,7,FALSE),"nodata")</f>
        <v>nodata</v>
      </c>
      <c r="L19">
        <v>35530081</v>
      </c>
      <c r="M19" t="str">
        <f>IFERROR(J19/L19,"nodata")</f>
        <v>nodata</v>
      </c>
    </row>
    <row r="20" spans="1:13" x14ac:dyDescent="0.2">
      <c r="A20" t="s">
        <v>9</v>
      </c>
      <c r="B20">
        <v>182</v>
      </c>
      <c r="C20">
        <v>1197</v>
      </c>
      <c r="D20">
        <v>41</v>
      </c>
      <c r="E20" t="s">
        <v>10</v>
      </c>
      <c r="F20">
        <f>IFERROR(VLOOKUP($A20,[1]data!$A$2:$G$51,2,FALSE),"nodata")</f>
        <v>1247357</v>
      </c>
      <c r="G20">
        <f>IFERROR(VLOOKUP($A20,[1]data!$A$2:$G$51,3,FALSE),"nodata")</f>
        <v>9786</v>
      </c>
      <c r="H20">
        <f>IFERROR(VLOOKUP($A20,[1]data!$A$2:$G$51,4,FALSE),"nodata")</f>
        <v>13319</v>
      </c>
      <c r="I20">
        <f>IFERROR(VLOOKUP($A20,[1]data!$A$2:$G$51,5,FALSE),"nodata")</f>
        <v>202</v>
      </c>
      <c r="J20">
        <f>IFERROR(VLOOKUP($A20,[1]data!$A$2:$G$51,6,FALSE),"nodata")</f>
        <v>23307</v>
      </c>
      <c r="K20">
        <f>IFERROR(VLOOKUP($A20,[1]data!$A$2:$G$51,7,FALSE),"nodata")</f>
        <v>1.8685107791915227E-2</v>
      </c>
      <c r="L20">
        <v>29784193</v>
      </c>
      <c r="M20">
        <f>IFERROR(J20/L20,"nodata")</f>
        <v>7.8252917579469078E-4</v>
      </c>
    </row>
    <row r="21" spans="1:13" x14ac:dyDescent="0.2">
      <c r="A21" t="s">
        <v>76</v>
      </c>
      <c r="B21">
        <v>181</v>
      </c>
      <c r="C21">
        <v>3709</v>
      </c>
      <c r="D21">
        <v>39</v>
      </c>
      <c r="E21" t="s">
        <v>6</v>
      </c>
      <c r="F21" t="str">
        <f>IFERROR(VLOOKUP($A21,[1]data!$A$2:$G$51,2,FALSE),"nodata")</f>
        <v>nodata</v>
      </c>
      <c r="G21" t="str">
        <f>IFERROR(VLOOKUP($A21,[1]data!$A$2:$G$51,3,FALSE),"nodata")</f>
        <v>nodata</v>
      </c>
      <c r="H21" t="str">
        <f>IFERROR(VLOOKUP($A21,[1]data!$A$2:$G$51,4,FALSE),"nodata")</f>
        <v>nodata</v>
      </c>
      <c r="I21" t="str">
        <f>IFERROR(VLOOKUP($A21,[1]data!$A$2:$G$51,5,FALSE),"nodata")</f>
        <v>nodata</v>
      </c>
      <c r="J21" t="str">
        <f>IFERROR(VLOOKUP($A21,[1]data!$A$2:$G$51,6,FALSE),"nodata")</f>
        <v>nodata</v>
      </c>
      <c r="K21" t="str">
        <f>IFERROR(VLOOKUP($A21,[1]data!$A$2:$G$51,7,FALSE),"nodata")</f>
        <v>nodata</v>
      </c>
      <c r="L21">
        <v>10981229</v>
      </c>
      <c r="M21" t="str">
        <f>IFERROR(J21/L21,"nodata")</f>
        <v>nodata</v>
      </c>
    </row>
    <row r="22" spans="1:13" x14ac:dyDescent="0.2">
      <c r="A22" s="6" t="s">
        <v>38</v>
      </c>
      <c r="B22">
        <v>180</v>
      </c>
      <c r="C22">
        <v>8527</v>
      </c>
      <c r="D22">
        <v>9</v>
      </c>
      <c r="E22" t="s">
        <v>10</v>
      </c>
      <c r="F22">
        <f>IFERROR(VLOOKUP($A22,[1]data!$A$2:$G$51,2,FALSE),"nodata")</f>
        <v>1269961</v>
      </c>
      <c r="G22">
        <f>IFERROR(VLOOKUP($A22,[1]data!$A$2:$G$51,3,FALSE),"nodata")</f>
        <v>10284</v>
      </c>
      <c r="H22">
        <f>IFERROR(VLOOKUP($A22,[1]data!$A$2:$G$51,4,FALSE),"nodata")</f>
        <v>10506</v>
      </c>
      <c r="I22">
        <f>IFERROR(VLOOKUP($A22,[1]data!$A$2:$G$51,5,FALSE),"nodata")</f>
        <v>9165</v>
      </c>
      <c r="J22">
        <f>IFERROR(VLOOKUP($A22,[1]data!$A$2:$G$51,6,FALSE),"nodata")</f>
        <v>29955</v>
      </c>
      <c r="K22">
        <f>IFERROR(VLOOKUP($A22,[1]data!$A$2:$G$51,7,FALSE),"nodata")</f>
        <v>2.358733850882035E-2</v>
      </c>
      <c r="L22">
        <v>14899994</v>
      </c>
      <c r="M22">
        <f>IFERROR(J22/L22,"nodata")</f>
        <v>2.0104034941222123E-3</v>
      </c>
    </row>
    <row r="23" spans="1:13" x14ac:dyDescent="0.2">
      <c r="A23" t="s">
        <v>192</v>
      </c>
      <c r="B23">
        <v>179</v>
      </c>
      <c r="C23">
        <v>0</v>
      </c>
      <c r="D23">
        <v>72</v>
      </c>
      <c r="E23" t="s">
        <v>6</v>
      </c>
      <c r="F23" t="str">
        <f>IFERROR(VLOOKUP($A23,[1]data!$A$2:$G$51,2,FALSE),"nodata")</f>
        <v>nodata</v>
      </c>
      <c r="G23" t="str">
        <f>IFERROR(VLOOKUP($A23,[1]data!$A$2:$G$51,3,FALSE),"nodata")</f>
        <v>nodata</v>
      </c>
      <c r="H23" t="str">
        <f>IFERROR(VLOOKUP($A23,[1]data!$A$2:$G$51,4,FALSE),"nodata")</f>
        <v>nodata</v>
      </c>
      <c r="I23" t="str">
        <f>IFERROR(VLOOKUP($A23,[1]data!$A$2:$G$51,5,FALSE),"nodata")</f>
        <v>nodata</v>
      </c>
      <c r="J23" t="str">
        <f>IFERROR(VLOOKUP($A23,[1]data!$A$2:$G$51,6,FALSE),"nodata")</f>
        <v>nodata</v>
      </c>
      <c r="K23" t="str">
        <f>IFERROR(VLOOKUP($A23,[1]data!$A$2:$G$51,7,FALSE),"nodata")</f>
        <v>nodata</v>
      </c>
      <c r="L23">
        <v>28250420</v>
      </c>
      <c r="M23" t="str">
        <f>IFERROR(J23/L23,"nodata")</f>
        <v>nodata</v>
      </c>
    </row>
    <row r="24" spans="1:13" x14ac:dyDescent="0.2">
      <c r="A24" t="s">
        <v>58</v>
      </c>
      <c r="B24">
        <v>178</v>
      </c>
      <c r="C24">
        <v>1085</v>
      </c>
      <c r="D24">
        <v>68</v>
      </c>
      <c r="E24" t="s">
        <v>10</v>
      </c>
      <c r="F24">
        <f>IFERROR(VLOOKUP($A24,[1]data!$A$2:$G$51,2,FALSE),"nodata")</f>
        <v>26987</v>
      </c>
      <c r="G24">
        <f>IFERROR(VLOOKUP($A24,[1]data!$A$2:$G$51,3,FALSE),"nodata")</f>
        <v>0</v>
      </c>
      <c r="H24">
        <f>IFERROR(VLOOKUP($A24,[1]data!$A$2:$G$51,4,FALSE),"nodata")</f>
        <v>706</v>
      </c>
      <c r="I24">
        <f>IFERROR(VLOOKUP($A24,[1]data!$A$2:$G$51,5,FALSE),"nodata")</f>
        <v>0</v>
      </c>
      <c r="J24">
        <f>IFERROR(VLOOKUP($A24,[1]data!$A$2:$G$51,6,FALSE),"nodata")</f>
        <v>706</v>
      </c>
      <c r="K24">
        <f>IFERROR(VLOOKUP($A24,[1]data!$A$2:$G$51,7,FALSE),"nodata")</f>
        <v>2.6160744061955756E-2</v>
      </c>
      <c r="L24">
        <v>1267689</v>
      </c>
      <c r="M24">
        <f>IFERROR(J24/L24,"nodata")</f>
        <v>5.5691892885400131E-4</v>
      </c>
    </row>
    <row r="25" spans="1:13" x14ac:dyDescent="0.2">
      <c r="A25" s="6" t="s">
        <v>44</v>
      </c>
      <c r="B25">
        <v>177</v>
      </c>
      <c r="C25">
        <v>5469</v>
      </c>
      <c r="D25">
        <v>57</v>
      </c>
      <c r="E25" t="s">
        <v>10</v>
      </c>
      <c r="F25">
        <f>IFERROR(VLOOKUP($A25,[1]data!$A$2:$G$51,2,FALSE),"nodata")</f>
        <v>341574</v>
      </c>
      <c r="G25">
        <f>IFERROR(VLOOKUP($A25,[1]data!$A$2:$G$51,3,FALSE),"nodata")</f>
        <v>2</v>
      </c>
      <c r="H25">
        <f>IFERROR(VLOOKUP($A25,[1]data!$A$2:$G$51,4,FALSE),"nodata")</f>
        <v>6778</v>
      </c>
      <c r="I25">
        <f>IFERROR(VLOOKUP($A25,[1]data!$A$2:$G$51,5,FALSE),"nodata")</f>
        <v>0</v>
      </c>
      <c r="J25">
        <f>IFERROR(VLOOKUP($A25,[1]data!$A$2:$G$51,6,FALSE),"nodata")</f>
        <v>6780</v>
      </c>
      <c r="K25">
        <f>IFERROR(VLOOKUP($A25,[1]data!$A$2:$G$51,7,FALSE),"nodata")</f>
        <v>1.9849285952677896E-2</v>
      </c>
      <c r="L25">
        <v>5260750</v>
      </c>
      <c r="M25">
        <f>IFERROR(J25/L25,"nodata")</f>
        <v>1.2887896212517226E-3</v>
      </c>
    </row>
    <row r="26" spans="1:13" x14ac:dyDescent="0.2">
      <c r="A26" t="s">
        <v>19</v>
      </c>
      <c r="B26">
        <v>176</v>
      </c>
      <c r="C26">
        <v>2865</v>
      </c>
      <c r="D26">
        <v>76</v>
      </c>
      <c r="E26" t="s">
        <v>6</v>
      </c>
      <c r="F26" t="str">
        <f>IFERROR(VLOOKUP($A26,[1]data!$A$2:$G$51,2,FALSE),"nodata")</f>
        <v>nodata</v>
      </c>
      <c r="G26" t="str">
        <f>IFERROR(VLOOKUP($A26,[1]data!$A$2:$G$51,3,FALSE),"nodata")</f>
        <v>nodata</v>
      </c>
      <c r="H26" t="str">
        <f>IFERROR(VLOOKUP($A26,[1]data!$A$2:$G$51,4,FALSE),"nodata")</f>
        <v>nodata</v>
      </c>
      <c r="I26" t="str">
        <f>IFERROR(VLOOKUP($A26,[1]data!$A$2:$G$51,5,FALSE),"nodata")</f>
        <v>nodata</v>
      </c>
      <c r="J26" t="str">
        <f>IFERROR(VLOOKUP($A26,[1]data!$A$2:$G$51,6,FALSE),"nodata")</f>
        <v>nodata</v>
      </c>
      <c r="K26" t="str">
        <f>IFERROR(VLOOKUP($A26,[1]data!$A$2:$G$51,7,FALSE),"nodata")</f>
        <v>nodata</v>
      </c>
      <c r="L26">
        <v>164669751</v>
      </c>
      <c r="M26" t="str">
        <f>IFERROR(J26/L26,"nodata")</f>
        <v>nodata</v>
      </c>
    </row>
    <row r="27" spans="1:13" x14ac:dyDescent="0.2">
      <c r="A27" t="s">
        <v>175</v>
      </c>
      <c r="B27">
        <v>175</v>
      </c>
      <c r="C27">
        <v>1218</v>
      </c>
      <c r="D27">
        <v>63</v>
      </c>
      <c r="E27" t="s">
        <v>6</v>
      </c>
      <c r="F27" t="str">
        <f>IFERROR(VLOOKUP($A27,[1]data!$A$2:$G$51,2,FALSE),"nodata")</f>
        <v>nodata</v>
      </c>
      <c r="G27" t="str">
        <f>IFERROR(VLOOKUP($A27,[1]data!$A$2:$G$51,3,FALSE),"nodata")</f>
        <v>nodata</v>
      </c>
      <c r="H27" t="str">
        <f>IFERROR(VLOOKUP($A27,[1]data!$A$2:$G$51,4,FALSE),"nodata")</f>
        <v>nodata</v>
      </c>
      <c r="I27" t="str">
        <f>IFERROR(VLOOKUP($A27,[1]data!$A$2:$G$51,5,FALSE),"nodata")</f>
        <v>nodata</v>
      </c>
      <c r="J27" t="str">
        <f>IFERROR(VLOOKUP($A27,[1]data!$A$2:$G$51,6,FALSE),"nodata")</f>
        <v>nodata</v>
      </c>
      <c r="K27" t="str">
        <f>IFERROR(VLOOKUP($A27,[1]data!$A$2:$G$51,7,FALSE),"nodata")</f>
        <v>nodata</v>
      </c>
      <c r="L27">
        <v>1296311</v>
      </c>
      <c r="M27" t="str">
        <f>IFERROR(J27/L27,"nodata")</f>
        <v>nodata</v>
      </c>
    </row>
    <row r="28" spans="1:13" x14ac:dyDescent="0.2">
      <c r="A28" t="s">
        <v>102</v>
      </c>
      <c r="B28">
        <v>174</v>
      </c>
      <c r="C28">
        <v>4067</v>
      </c>
      <c r="D28">
        <v>20</v>
      </c>
      <c r="E28" t="s">
        <v>10</v>
      </c>
      <c r="F28">
        <f>IFERROR(VLOOKUP($A28,[1]data!$A$2:$G$51,2,FALSE),"nodata")</f>
        <v>95877</v>
      </c>
      <c r="G28">
        <f>IFERROR(VLOOKUP($A28,[1]data!$A$2:$G$51,3,FALSE),"nodata")</f>
        <v>0</v>
      </c>
      <c r="H28">
        <f>IFERROR(VLOOKUP($A28,[1]data!$A$2:$G$51,4,FALSE),"nodata")</f>
        <v>667</v>
      </c>
      <c r="I28">
        <f>IFERROR(VLOOKUP($A28,[1]data!$A$2:$G$51,5,FALSE),"nodata")</f>
        <v>0</v>
      </c>
      <c r="J28">
        <f>IFERROR(VLOOKUP($A28,[1]data!$A$2:$G$51,6,FALSE),"nodata")</f>
        <v>667</v>
      </c>
      <c r="K28">
        <f>IFERROR(VLOOKUP($A28,[1]data!$A$2:$G$51,7,FALSE),"nodata")</f>
        <v>6.9568301052390039E-3</v>
      </c>
      <c r="L28">
        <v>4731906</v>
      </c>
      <c r="M28">
        <f>IFERROR(J28/L28,"nodata")</f>
        <v>1.4095799874300124E-4</v>
      </c>
    </row>
    <row r="29" spans="1:13" x14ac:dyDescent="0.2">
      <c r="A29" t="s">
        <v>171</v>
      </c>
      <c r="B29">
        <v>173</v>
      </c>
      <c r="C29">
        <v>312</v>
      </c>
      <c r="D29">
        <v>100</v>
      </c>
      <c r="E29" t="s">
        <v>6</v>
      </c>
      <c r="F29" t="str">
        <f>IFERROR(VLOOKUP($A29,[1]data!$A$2:$G$51,2,FALSE),"nodata")</f>
        <v>nodata</v>
      </c>
      <c r="G29" t="str">
        <f>IFERROR(VLOOKUP($A29,[1]data!$A$2:$G$51,3,FALSE),"nodata")</f>
        <v>nodata</v>
      </c>
      <c r="H29" t="str">
        <f>IFERROR(VLOOKUP($A29,[1]data!$A$2:$G$51,4,FALSE),"nodata")</f>
        <v>nodata</v>
      </c>
      <c r="I29" t="str">
        <f>IFERROR(VLOOKUP($A29,[1]data!$A$2:$G$51,5,FALSE),"nodata")</f>
        <v>nodata</v>
      </c>
      <c r="J29" t="str">
        <f>IFERROR(VLOOKUP($A29,[1]data!$A$2:$G$51,6,FALSE),"nodata")</f>
        <v>nodata</v>
      </c>
      <c r="K29" t="str">
        <f>IFERROR(VLOOKUP($A29,[1]data!$A$2:$G$51,7,FALSE),"nodata")</f>
        <v>nodata</v>
      </c>
      <c r="L29">
        <v>18269868</v>
      </c>
      <c r="M29" t="str">
        <f>IFERROR(J29/L29,"nodata")</f>
        <v>nodata</v>
      </c>
    </row>
    <row r="30" spans="1:13" x14ac:dyDescent="0.2">
      <c r="A30" t="s">
        <v>74</v>
      </c>
      <c r="B30">
        <v>172</v>
      </c>
      <c r="C30">
        <v>1520</v>
      </c>
      <c r="D30">
        <v>15</v>
      </c>
      <c r="E30" t="s">
        <v>10</v>
      </c>
      <c r="F30">
        <f>IFERROR(VLOOKUP($A30,[1]data!$A$2:$G$51,2,FALSE),"nodata")</f>
        <v>33974</v>
      </c>
      <c r="G30">
        <f>IFERROR(VLOOKUP($A30,[1]data!$A$2:$G$51,3,FALSE),"nodata")</f>
        <v>906</v>
      </c>
      <c r="H30">
        <f>IFERROR(VLOOKUP($A30,[1]data!$A$2:$G$51,4,FALSE),"nodata")</f>
        <v>1493</v>
      </c>
      <c r="I30">
        <f>IFERROR(VLOOKUP($A30,[1]data!$A$2:$G$51,5,FALSE),"nodata")</f>
        <v>124</v>
      </c>
      <c r="J30">
        <f>IFERROR(VLOOKUP($A30,[1]data!$A$2:$G$51,6,FALSE),"nodata")</f>
        <v>2523</v>
      </c>
      <c r="K30">
        <f>IFERROR(VLOOKUP($A30,[1]data!$A$2:$G$51,7,FALSE),"nodata")</f>
        <v>7.4262671454641785E-2</v>
      </c>
      <c r="L30">
        <v>1861283</v>
      </c>
      <c r="M30">
        <f>IFERROR(J30/L30,"nodata")</f>
        <v>1.3555165979595794E-3</v>
      </c>
    </row>
    <row r="31" spans="1:13" x14ac:dyDescent="0.2">
      <c r="A31" t="s">
        <v>52</v>
      </c>
      <c r="B31">
        <v>171</v>
      </c>
      <c r="C31">
        <v>6380</v>
      </c>
      <c r="D31">
        <v>52</v>
      </c>
      <c r="E31" t="s">
        <v>6</v>
      </c>
      <c r="F31">
        <f>IFERROR(VLOOKUP($A31,[1]data!$A$2:$G$51,2,FALSE),"nodata")</f>
        <v>21679</v>
      </c>
      <c r="G31">
        <f>IFERROR(VLOOKUP($A31,[1]data!$A$2:$G$51,3,FALSE),"nodata")</f>
        <v>852</v>
      </c>
      <c r="H31">
        <f>IFERROR(VLOOKUP($A31,[1]data!$A$2:$G$51,4,FALSE),"nodata")</f>
        <v>947</v>
      </c>
      <c r="I31">
        <f>IFERROR(VLOOKUP($A31,[1]data!$A$2:$G$51,5,FALSE),"nodata")</f>
        <v>934</v>
      </c>
      <c r="J31">
        <f>IFERROR(VLOOKUP($A31,[1]data!$A$2:$G$51,6,FALSE),"nodata")</f>
        <v>2733</v>
      </c>
      <c r="K31">
        <f>IFERROR(VLOOKUP($A31,[1]data!$A$2:$G$51,7,FALSE),"nodata")</f>
        <v>0.12606670049356519</v>
      </c>
      <c r="L31">
        <v>956985</v>
      </c>
      <c r="M31">
        <f>IFERROR(J31/L31,"nodata")</f>
        <v>2.8558441354880173E-3</v>
      </c>
    </row>
    <row r="32" spans="1:13" x14ac:dyDescent="0.2">
      <c r="A32" t="s">
        <v>123</v>
      </c>
      <c r="B32">
        <v>170</v>
      </c>
      <c r="C32">
        <v>1270</v>
      </c>
      <c r="D32">
        <v>57</v>
      </c>
      <c r="E32" t="s">
        <v>6</v>
      </c>
      <c r="F32" t="str">
        <f>IFERROR(VLOOKUP($A32,[1]data!$A$2:$G$51,2,FALSE),"nodata")</f>
        <v>nodata</v>
      </c>
      <c r="G32" t="str">
        <f>IFERROR(VLOOKUP($A32,[1]data!$A$2:$G$51,3,FALSE),"nodata")</f>
        <v>nodata</v>
      </c>
      <c r="H32" t="str">
        <f>IFERROR(VLOOKUP($A32,[1]data!$A$2:$G$51,4,FALSE),"nodata")</f>
        <v>nodata</v>
      </c>
      <c r="I32" t="str">
        <f>IFERROR(VLOOKUP($A32,[1]data!$A$2:$G$51,5,FALSE),"nodata")</f>
        <v>nodata</v>
      </c>
      <c r="J32" t="str">
        <f>IFERROR(VLOOKUP($A32,[1]data!$A$2:$G$51,6,FALSE),"nodata")</f>
        <v>nodata</v>
      </c>
      <c r="K32" t="str">
        <f>IFERROR(VLOOKUP($A32,[1]data!$A$2:$G$51,7,FALSE),"nodata")</f>
        <v>nodata</v>
      </c>
      <c r="L32">
        <v>53370609</v>
      </c>
      <c r="M32" t="str">
        <f>IFERROR(J32/L32,"nodata")</f>
        <v>nodata</v>
      </c>
    </row>
    <row r="33" spans="1:13" x14ac:dyDescent="0.2">
      <c r="A33" t="s">
        <v>130</v>
      </c>
      <c r="B33">
        <v>169</v>
      </c>
      <c r="C33">
        <v>440</v>
      </c>
      <c r="D33">
        <v>59</v>
      </c>
      <c r="E33" t="s">
        <v>10</v>
      </c>
      <c r="F33">
        <f>IFERROR(VLOOKUP($A33,[1]data!$A$2:$G$51,2,FALSE),"nodata")</f>
        <v>909481</v>
      </c>
      <c r="G33">
        <f>IFERROR(VLOOKUP($A33,[1]data!$A$2:$G$51,3,FALSE),"nodata")</f>
        <v>10045</v>
      </c>
      <c r="H33">
        <f>IFERROR(VLOOKUP($A33,[1]data!$A$2:$G$51,4,FALSE),"nodata")</f>
        <v>32456</v>
      </c>
      <c r="I33">
        <f>IFERROR(VLOOKUP($A33,[1]data!$A$2:$G$51,5,FALSE),"nodata")</f>
        <v>12867</v>
      </c>
      <c r="J33">
        <f>IFERROR(VLOOKUP($A33,[1]data!$A$2:$G$51,6,FALSE),"nodata")</f>
        <v>55368</v>
      </c>
      <c r="K33">
        <f>IFERROR(VLOOKUP($A33,[1]data!$A$2:$G$51,7,FALSE),"nodata")</f>
        <v>6.0878676959716584E-2</v>
      </c>
      <c r="L33">
        <v>190886311</v>
      </c>
      <c r="M33">
        <f>IFERROR(J33/L33,"nodata")</f>
        <v>2.9005746776676931E-4</v>
      </c>
    </row>
    <row r="34" spans="1:13" x14ac:dyDescent="0.2">
      <c r="A34" t="s">
        <v>167</v>
      </c>
      <c r="B34">
        <v>168</v>
      </c>
      <c r="C34">
        <v>2687</v>
      </c>
      <c r="D34">
        <v>39</v>
      </c>
      <c r="E34" t="s">
        <v>10</v>
      </c>
      <c r="F34">
        <f>IFERROR(VLOOKUP($A34,[1]data!$A$2:$G$51,2,FALSE),"nodata")</f>
        <v>1886068</v>
      </c>
      <c r="G34">
        <f>IFERROR(VLOOKUP($A34,[1]data!$A$2:$G$51,3,FALSE),"nodata")</f>
        <v>58319.986443152819</v>
      </c>
      <c r="H34">
        <f>IFERROR(VLOOKUP($A34,[1]data!$A$2:$G$51,4,FALSE),"nodata")</f>
        <v>66150.270588183601</v>
      </c>
      <c r="I34">
        <f>IFERROR(VLOOKUP($A34,[1]data!$A$2:$G$51,5,FALSE),"nodata")</f>
        <v>46447.633541774252</v>
      </c>
      <c r="J34">
        <f>IFERROR(VLOOKUP($A34,[1]data!$A$2:$G$51,6,FALSE),"nodata")</f>
        <v>170917.89057311066</v>
      </c>
      <c r="K34">
        <f>IFERROR(VLOOKUP($A34,[1]data!$A$2:$G$51,7,FALSE),"nodata")</f>
        <v>9.0621276949246085E-2</v>
      </c>
      <c r="L34">
        <v>40533330</v>
      </c>
      <c r="M34">
        <f>IFERROR(J34/L34,"nodata")</f>
        <v>4.2167246207777814E-3</v>
      </c>
    </row>
    <row r="35" spans="1:13" x14ac:dyDescent="0.2">
      <c r="A35" t="s">
        <v>107</v>
      </c>
      <c r="B35">
        <v>167</v>
      </c>
      <c r="C35">
        <v>5699</v>
      </c>
      <c r="D35">
        <v>23</v>
      </c>
      <c r="E35" t="s">
        <v>10</v>
      </c>
      <c r="F35">
        <f>IFERROR(VLOOKUP($A35,[1]data!$A$2:$G$51,2,FALSE),"nodata")</f>
        <v>591575</v>
      </c>
      <c r="G35">
        <f>IFERROR(VLOOKUP($A35,[1]data!$A$2:$G$51,3,FALSE),"nodata")</f>
        <v>3194</v>
      </c>
      <c r="H35">
        <f>IFERROR(VLOOKUP($A35,[1]data!$A$2:$G$51,4,FALSE),"nodata")</f>
        <v>4987</v>
      </c>
      <c r="I35">
        <f>IFERROR(VLOOKUP($A35,[1]data!$A$2:$G$51,5,FALSE),"nodata")</f>
        <v>2617</v>
      </c>
      <c r="J35">
        <f>IFERROR(VLOOKUP($A35,[1]data!$A$2:$G$51,6,FALSE),"nodata")</f>
        <v>10798</v>
      </c>
      <c r="K35">
        <f>IFERROR(VLOOKUP($A35,[1]data!$A$2:$G$51,7,FALSE),"nodata")</f>
        <v>1.8252968769809409E-2</v>
      </c>
      <c r="L35">
        <v>25570895</v>
      </c>
      <c r="M35">
        <f>IFERROR(J35/L35,"nodata")</f>
        <v>4.2227696762276015E-4</v>
      </c>
    </row>
    <row r="36" spans="1:13" x14ac:dyDescent="0.2">
      <c r="A36" t="s">
        <v>35</v>
      </c>
      <c r="B36">
        <v>166</v>
      </c>
      <c r="C36">
        <v>1597</v>
      </c>
      <c r="D36">
        <v>60</v>
      </c>
      <c r="E36" t="s">
        <v>10</v>
      </c>
      <c r="F36">
        <f>IFERROR(VLOOKUP($A36,[1]data!$A$2:$G$51,2,FALSE),"nodata")</f>
        <v>466295</v>
      </c>
      <c r="G36">
        <f>IFERROR(VLOOKUP($A36,[1]data!$A$2:$G$51,3,FALSE),"nodata")</f>
        <v>3706</v>
      </c>
      <c r="H36">
        <f>IFERROR(VLOOKUP($A36,[1]data!$A$2:$G$51,4,FALSE),"nodata")</f>
        <v>10105</v>
      </c>
      <c r="I36">
        <f>IFERROR(VLOOKUP($A36,[1]data!$A$2:$G$51,5,FALSE),"nodata")</f>
        <v>979</v>
      </c>
      <c r="J36">
        <f>IFERROR(VLOOKUP($A36,[1]data!$A$2:$G$51,6,FALSE),"nodata")</f>
        <v>14790</v>
      </c>
      <c r="K36">
        <f>IFERROR(VLOOKUP($A36,[1]data!$A$2:$G$51,7,FALSE),"nodata")</f>
        <v>3.1718118358549846E-2</v>
      </c>
      <c r="L36">
        <v>24053727</v>
      </c>
      <c r="M36">
        <f>IFERROR(J36/L36,"nodata")</f>
        <v>6.1487352874670944E-4</v>
      </c>
    </row>
    <row r="37" spans="1:13" x14ac:dyDescent="0.2">
      <c r="A37" t="s">
        <v>84</v>
      </c>
      <c r="B37">
        <v>165</v>
      </c>
      <c r="C37">
        <v>469</v>
      </c>
      <c r="D37">
        <v>100</v>
      </c>
      <c r="E37" t="s">
        <v>6</v>
      </c>
      <c r="F37" t="str">
        <f>IFERROR(VLOOKUP($A37,[1]data!$A$2:$G$51,2,FALSE),"nodata")</f>
        <v>nodata</v>
      </c>
      <c r="G37" t="str">
        <f>IFERROR(VLOOKUP($A37,[1]data!$A$2:$G$51,3,FALSE),"nodata")</f>
        <v>nodata</v>
      </c>
      <c r="H37" t="str">
        <f>IFERROR(VLOOKUP($A37,[1]data!$A$2:$G$51,4,FALSE),"nodata")</f>
        <v>nodata</v>
      </c>
      <c r="I37" t="str">
        <f>IFERROR(VLOOKUP($A37,[1]data!$A$2:$G$51,5,FALSE),"nodata")</f>
        <v>nodata</v>
      </c>
      <c r="J37" t="str">
        <f>IFERROR(VLOOKUP($A37,[1]data!$A$2:$G$51,6,FALSE),"nodata")</f>
        <v>nodata</v>
      </c>
      <c r="K37" t="str">
        <f>IFERROR(VLOOKUP($A37,[1]data!$A$2:$G$51,7,FALSE),"nodata")</f>
        <v>nodata</v>
      </c>
      <c r="L37">
        <v>38274618</v>
      </c>
      <c r="M37" t="str">
        <f>IFERROR(J37/L37,"nodata")</f>
        <v>nodata</v>
      </c>
    </row>
    <row r="38" spans="1:13" x14ac:dyDescent="0.2">
      <c r="A38" t="s">
        <v>65</v>
      </c>
      <c r="B38">
        <v>164</v>
      </c>
      <c r="C38">
        <v>1102</v>
      </c>
      <c r="D38">
        <v>91</v>
      </c>
      <c r="E38" t="s">
        <v>10</v>
      </c>
      <c r="F38">
        <f>IFERROR(VLOOKUP($A38,[1]data!$A$2:$G$51,2,FALSE),"nodata")</f>
        <v>264715</v>
      </c>
      <c r="G38">
        <f>IFERROR(VLOOKUP($A38,[1]data!$A$2:$G$51,3,FALSE),"nodata")</f>
        <v>6</v>
      </c>
      <c r="H38">
        <f>IFERROR(VLOOKUP($A38,[1]data!$A$2:$G$51,4,FALSE),"nodata")</f>
        <v>5402</v>
      </c>
      <c r="I38">
        <f>IFERROR(VLOOKUP($A38,[1]data!$A$2:$G$51,5,FALSE),"nodata")</f>
        <v>0</v>
      </c>
      <c r="J38">
        <f>IFERROR(VLOOKUP($A38,[1]data!$A$2:$G$51,6,FALSE),"nodata")</f>
        <v>5408</v>
      </c>
      <c r="K38">
        <f>IFERROR(VLOOKUP($A38,[1]data!$A$2:$G$51,7,FALSE),"nodata")</f>
        <v>2.0429518538805886E-2</v>
      </c>
      <c r="L38">
        <v>2025137</v>
      </c>
      <c r="M38">
        <f>IFERROR(J38/L38,"nodata")</f>
        <v>2.6704366173745282E-3</v>
      </c>
    </row>
    <row r="39" spans="1:13" x14ac:dyDescent="0.2">
      <c r="A39" t="s">
        <v>73</v>
      </c>
      <c r="B39">
        <v>163</v>
      </c>
      <c r="C39">
        <v>6636</v>
      </c>
      <c r="D39">
        <v>34</v>
      </c>
      <c r="E39" t="s">
        <v>10</v>
      </c>
      <c r="F39">
        <f>IFERROR(VLOOKUP($A39,[1]data!$A$2:$G$51,2,FALSE),"nodata")</f>
        <v>244871</v>
      </c>
      <c r="G39">
        <f>IFERROR(VLOOKUP($A39,[1]data!$A$2:$G$51,3,FALSE),"nodata")</f>
        <v>467</v>
      </c>
      <c r="H39">
        <f>IFERROR(VLOOKUP($A39,[1]data!$A$2:$G$51,4,FALSE),"nodata")</f>
        <v>5204</v>
      </c>
      <c r="I39">
        <f>IFERROR(VLOOKUP($A39,[1]data!$A$2:$G$51,5,FALSE),"nodata")</f>
        <v>2</v>
      </c>
      <c r="J39">
        <f>IFERROR(VLOOKUP($A39,[1]data!$A$2:$G$51,6,FALSE),"nodata")</f>
        <v>5673</v>
      </c>
      <c r="K39">
        <f>IFERROR(VLOOKUP($A39,[1]data!$A$2:$G$51,7,FALSE),"nodata")</f>
        <v>2.3167300333645061E-2</v>
      </c>
      <c r="L39">
        <v>12717176</v>
      </c>
      <c r="M39">
        <f>IFERROR(J39/L39,"nodata")</f>
        <v>4.460896035409119E-4</v>
      </c>
    </row>
    <row r="40" spans="1:13" x14ac:dyDescent="0.2">
      <c r="A40" t="s">
        <v>149</v>
      </c>
      <c r="B40">
        <v>162</v>
      </c>
      <c r="C40">
        <v>420</v>
      </c>
      <c r="D40">
        <v>65</v>
      </c>
      <c r="E40" t="s">
        <v>10</v>
      </c>
      <c r="F40" t="str">
        <f>IFERROR(VLOOKUP($A40,[1]data!$A$2:$G$51,2,FALSE),"nodata")</f>
        <v>nodata</v>
      </c>
      <c r="G40" t="str">
        <f>IFERROR(VLOOKUP($A40,[1]data!$A$2:$G$51,3,FALSE),"nodata")</f>
        <v>nodata</v>
      </c>
      <c r="H40" t="str">
        <f>IFERROR(VLOOKUP($A40,[1]data!$A$2:$G$51,4,FALSE),"nodata")</f>
        <v>nodata</v>
      </c>
      <c r="I40" t="str">
        <f>IFERROR(VLOOKUP($A40,[1]data!$A$2:$G$51,5,FALSE),"nodata")</f>
        <v>nodata</v>
      </c>
      <c r="J40" t="str">
        <f>IFERROR(VLOOKUP($A40,[1]data!$A$2:$G$51,6,FALSE),"nodata")</f>
        <v>nodata</v>
      </c>
      <c r="K40" t="str">
        <f>IFERROR(VLOOKUP($A40,[1]data!$A$2:$G$51,7,FALSE),"nodata")</f>
        <v>nodata</v>
      </c>
      <c r="L40">
        <v>204327</v>
      </c>
      <c r="M40" t="str">
        <f>IFERROR(J40/L40,"nodata")</f>
        <v>nodata</v>
      </c>
    </row>
    <row r="41" spans="1:13" x14ac:dyDescent="0.2">
      <c r="A41" t="s">
        <v>194</v>
      </c>
      <c r="B41">
        <v>161</v>
      </c>
      <c r="C41">
        <v>2958</v>
      </c>
      <c r="D41">
        <v>38</v>
      </c>
      <c r="E41" t="s">
        <v>10</v>
      </c>
      <c r="F41">
        <f>IFERROR(VLOOKUP($A41,[1]data!$A$2:$G$51,2,FALSE),"nodata")</f>
        <v>390649</v>
      </c>
      <c r="G41">
        <f>IFERROR(VLOOKUP($A41,[1]data!$A$2:$G$51,3,FALSE),"nodata")</f>
        <v>11874</v>
      </c>
      <c r="H41">
        <f>IFERROR(VLOOKUP($A41,[1]data!$A$2:$G$51,4,FALSE),"nodata")</f>
        <v>15684</v>
      </c>
      <c r="I41">
        <f>IFERROR(VLOOKUP($A41,[1]data!$A$2:$G$51,5,FALSE),"nodata")</f>
        <v>12137</v>
      </c>
      <c r="J41">
        <f>IFERROR(VLOOKUP($A41,[1]data!$A$2:$G$51,6,FALSE),"nodata")</f>
        <v>39695</v>
      </c>
      <c r="K41">
        <f>IFERROR(VLOOKUP($A41,[1]data!$A$2:$G$51,7,FALSE),"nodata")</f>
        <v>0.10161295689992807</v>
      </c>
      <c r="L41">
        <v>16529904</v>
      </c>
      <c r="M41">
        <f>IFERROR(J41/L41,"nodata")</f>
        <v>2.4014053560141666E-3</v>
      </c>
    </row>
    <row r="42" spans="1:13" x14ac:dyDescent="0.2">
      <c r="A42" t="s">
        <v>114</v>
      </c>
      <c r="B42">
        <v>160</v>
      </c>
      <c r="C42">
        <v>4735</v>
      </c>
      <c r="D42">
        <v>42</v>
      </c>
      <c r="E42" t="s">
        <v>10</v>
      </c>
      <c r="F42">
        <f>IFERROR(VLOOKUP($A42,[1]data!$A$2:$G$51,2,FALSE),"nodata")</f>
        <v>1040738</v>
      </c>
      <c r="G42">
        <f>IFERROR(VLOOKUP($A42,[1]data!$A$2:$G$51,3,FALSE),"nodata")</f>
        <v>4988</v>
      </c>
      <c r="H42">
        <f>IFERROR(VLOOKUP($A42,[1]data!$A$2:$G$51,4,FALSE),"nodata")</f>
        <v>7990</v>
      </c>
      <c r="I42">
        <f>IFERROR(VLOOKUP($A42,[1]data!$A$2:$G$51,5,FALSE),"nodata")</f>
        <v>11822</v>
      </c>
      <c r="J42">
        <f>IFERROR(VLOOKUP($A42,[1]data!$A$2:$G$51,6,FALSE),"nodata")</f>
        <v>24800</v>
      </c>
      <c r="K42">
        <f>IFERROR(VLOOKUP($A42,[1]data!$A$2:$G$51,7,FALSE),"nodata")</f>
        <v>2.3829244247831827E-2</v>
      </c>
      <c r="L42">
        <v>4420184</v>
      </c>
      <c r="M42">
        <f>IFERROR(J42/L42,"nodata")</f>
        <v>5.610626163978694E-3</v>
      </c>
    </row>
    <row r="43" spans="1:13" x14ac:dyDescent="0.2">
      <c r="A43" t="s">
        <v>61</v>
      </c>
      <c r="B43">
        <v>159</v>
      </c>
      <c r="C43">
        <v>1239</v>
      </c>
      <c r="D43">
        <v>43</v>
      </c>
      <c r="E43" t="s">
        <v>10</v>
      </c>
      <c r="F43">
        <f>IFERROR(VLOOKUP($A43,[1]data!$A$2:$G$51,2,FALSE),"nodata")</f>
        <v>1127582</v>
      </c>
      <c r="G43">
        <f>IFERROR(VLOOKUP($A43,[1]data!$A$2:$G$51,3,FALSE),"nodata")</f>
        <v>22959</v>
      </c>
      <c r="H43">
        <f>IFERROR(VLOOKUP($A43,[1]data!$A$2:$G$51,4,FALSE),"nodata")</f>
        <v>27154</v>
      </c>
      <c r="I43">
        <f>IFERROR(VLOOKUP($A43,[1]data!$A$2:$G$51,5,FALSE),"nodata")</f>
        <v>14838</v>
      </c>
      <c r="J43">
        <f>IFERROR(VLOOKUP($A43,[1]data!$A$2:$G$51,6,FALSE),"nodata")</f>
        <v>64951</v>
      </c>
      <c r="K43">
        <f>IFERROR(VLOOKUP($A43,[1]data!$A$2:$G$51,7,FALSE),"nodata")</f>
        <v>5.7602019187961498E-2</v>
      </c>
      <c r="L43">
        <v>104957438</v>
      </c>
      <c r="M43">
        <f>IFERROR(J43/L43,"nodata")</f>
        <v>6.1883179732340643E-4</v>
      </c>
    </row>
    <row r="44" spans="1:13" x14ac:dyDescent="0.2">
      <c r="A44" t="s">
        <v>168</v>
      </c>
      <c r="B44">
        <v>158</v>
      </c>
      <c r="C44">
        <v>484</v>
      </c>
      <c r="D44">
        <v>87</v>
      </c>
      <c r="E44" t="s">
        <v>6</v>
      </c>
      <c r="F44" t="str">
        <f>IFERROR(VLOOKUP($A44,[1]data!$A$2:$G$51,2,FALSE),"nodata")</f>
        <v>nodata</v>
      </c>
      <c r="G44" t="str">
        <f>IFERROR(VLOOKUP($A44,[1]data!$A$2:$G$51,3,FALSE),"nodata")</f>
        <v>nodata</v>
      </c>
      <c r="H44" t="str">
        <f>IFERROR(VLOOKUP($A44,[1]data!$A$2:$G$51,4,FALSE),"nodata")</f>
        <v>nodata</v>
      </c>
      <c r="I44" t="str">
        <f>IFERROR(VLOOKUP($A44,[1]data!$A$2:$G$51,5,FALSE),"nodata")</f>
        <v>nodata</v>
      </c>
      <c r="J44" t="str">
        <f>IFERROR(VLOOKUP($A44,[1]data!$A$2:$G$51,6,FALSE),"nodata")</f>
        <v>nodata</v>
      </c>
      <c r="K44" t="str">
        <f>IFERROR(VLOOKUP($A44,[1]data!$A$2:$G$51,7,FALSE),"nodata")</f>
        <v>nodata</v>
      </c>
      <c r="L44">
        <v>563402</v>
      </c>
      <c r="M44" t="str">
        <f>IFERROR(J44/L44,"nodata")</f>
        <v>nodata</v>
      </c>
    </row>
    <row r="45" spans="1:13" x14ac:dyDescent="0.2">
      <c r="A45" t="s">
        <v>33</v>
      </c>
      <c r="B45">
        <v>157</v>
      </c>
      <c r="C45">
        <v>16918</v>
      </c>
      <c r="D45">
        <v>8</v>
      </c>
      <c r="E45" t="s">
        <v>10</v>
      </c>
      <c r="F45">
        <f>IFERROR(VLOOKUP($A45,[1]data!$A$2:$G$51,2,FALSE),"nodata")</f>
        <v>26949</v>
      </c>
      <c r="G45">
        <f>IFERROR(VLOOKUP($A45,[1]data!$A$2:$G$51,3,FALSE),"nodata")</f>
        <v>786</v>
      </c>
      <c r="H45">
        <f>IFERROR(VLOOKUP($A45,[1]data!$A$2:$G$51,4,FALSE),"nodata")</f>
        <v>888</v>
      </c>
      <c r="I45">
        <f>IFERROR(VLOOKUP($A45,[1]data!$A$2:$G$51,5,FALSE),"nodata")</f>
        <v>0</v>
      </c>
      <c r="J45">
        <f>IFERROR(VLOOKUP($A45,[1]data!$A$2:$G$51,6,FALSE),"nodata")</f>
        <v>1674</v>
      </c>
      <c r="K45">
        <f>IFERROR(VLOOKUP($A45,[1]data!$A$2:$G$51,7,FALSE),"nodata")</f>
        <v>6.211733273961928E-2</v>
      </c>
      <c r="L45">
        <v>10864245</v>
      </c>
      <c r="M45">
        <f>IFERROR(J45/L45,"nodata")</f>
        <v>1.5408341766961258E-4</v>
      </c>
    </row>
    <row r="46" spans="1:13" x14ac:dyDescent="0.2">
      <c r="A46" t="s">
        <v>8</v>
      </c>
      <c r="B46">
        <v>156</v>
      </c>
      <c r="C46">
        <v>1330</v>
      </c>
      <c r="D46">
        <v>99</v>
      </c>
      <c r="E46" t="s">
        <v>6</v>
      </c>
      <c r="F46">
        <f>IFERROR(VLOOKUP($A46,[1]data!$A$2:$G$51,2,FALSE),"nodata")</f>
        <v>2316559</v>
      </c>
      <c r="G46">
        <f>IFERROR(VLOOKUP($A46,[1]data!$A$2:$G$51,3,FALSE),"nodata")</f>
        <v>26530</v>
      </c>
      <c r="H46">
        <f>IFERROR(VLOOKUP($A46,[1]data!$A$2:$G$51,4,FALSE),"nodata")</f>
        <v>27904</v>
      </c>
      <c r="I46">
        <f>IFERROR(VLOOKUP($A46,[1]data!$A$2:$G$51,5,FALSE),"nodata")</f>
        <v>30155</v>
      </c>
      <c r="J46">
        <f>IFERROR(VLOOKUP($A46,[1]data!$A$2:$G$51,6,FALSE),"nodata")</f>
        <v>84589</v>
      </c>
      <c r="K46">
        <f>IFERROR(VLOOKUP($A46,[1]data!$A$2:$G$51,7,FALSE),"nodata")</f>
        <v>3.6514934435082379E-2</v>
      </c>
      <c r="L46">
        <v>41318142</v>
      </c>
      <c r="M46">
        <f>IFERROR(J46/L46,"nodata")</f>
        <v>2.0472604987900956E-3</v>
      </c>
    </row>
    <row r="47" spans="1:13" x14ac:dyDescent="0.2">
      <c r="A47" t="s">
        <v>24</v>
      </c>
      <c r="B47">
        <v>155</v>
      </c>
      <c r="C47">
        <v>12582</v>
      </c>
      <c r="D47">
        <v>41</v>
      </c>
      <c r="E47" t="s">
        <v>10</v>
      </c>
      <c r="F47">
        <f>IFERROR(VLOOKUP($A47,[1]data!$A$2:$G$51,2,FALSE),"nodata")</f>
        <v>115543</v>
      </c>
      <c r="G47">
        <f>IFERROR(VLOOKUP($A47,[1]data!$A$2:$G$51,3,FALSE),"nodata")</f>
        <v>0</v>
      </c>
      <c r="H47">
        <f>IFERROR(VLOOKUP($A47,[1]data!$A$2:$G$51,4,FALSE),"nodata")</f>
        <v>3898</v>
      </c>
      <c r="I47">
        <f>IFERROR(VLOOKUP($A47,[1]data!$A$2:$G$51,5,FALSE),"nodata")</f>
        <v>405</v>
      </c>
      <c r="J47">
        <f>IFERROR(VLOOKUP($A47,[1]data!$A$2:$G$51,6,FALSE),"nodata")</f>
        <v>4303</v>
      </c>
      <c r="K47">
        <f>IFERROR(VLOOKUP($A47,[1]data!$A$2:$G$51,7,FALSE),"nodata")</f>
        <v>3.7241546437257127E-2</v>
      </c>
      <c r="L47">
        <v>11175692</v>
      </c>
      <c r="M47">
        <f>IFERROR(J47/L47,"nodata")</f>
        <v>3.8503208570887603E-4</v>
      </c>
    </row>
    <row r="48" spans="1:13" x14ac:dyDescent="0.2">
      <c r="A48" t="s">
        <v>176</v>
      </c>
      <c r="B48">
        <v>154</v>
      </c>
      <c r="C48">
        <v>5508</v>
      </c>
      <c r="D48">
        <v>47</v>
      </c>
      <c r="E48" t="s">
        <v>10</v>
      </c>
      <c r="F48">
        <f>IFERROR(VLOOKUP($A48,[1]data!$A$2:$G$51,2,FALSE),"nodata")</f>
        <v>57038</v>
      </c>
      <c r="G48">
        <f>IFERROR(VLOOKUP($A48,[1]data!$A$2:$G$51,3,FALSE),"nodata")</f>
        <v>0</v>
      </c>
      <c r="H48">
        <f>IFERROR(VLOOKUP($A48,[1]data!$A$2:$G$51,4,FALSE),"nodata")</f>
        <v>1257</v>
      </c>
      <c r="I48">
        <f>IFERROR(VLOOKUP($A48,[1]data!$A$2:$G$51,5,FALSE),"nodata")</f>
        <v>79</v>
      </c>
      <c r="J48">
        <f>IFERROR(VLOOKUP($A48,[1]data!$A$2:$G$51,6,FALSE),"nodata")</f>
        <v>1336</v>
      </c>
      <c r="K48">
        <f>IFERROR(VLOOKUP($A48,[1]data!$A$2:$G$51,7,FALSE),"nodata")</f>
        <v>2.3422981170447773E-2</v>
      </c>
      <c r="L48">
        <v>7797694</v>
      </c>
      <c r="M48">
        <f>IFERROR(J48/L48,"nodata")</f>
        <v>1.7133270425846411E-4</v>
      </c>
    </row>
    <row r="49" spans="1:13" x14ac:dyDescent="0.2">
      <c r="A49" t="s">
        <v>42</v>
      </c>
      <c r="B49">
        <v>153</v>
      </c>
      <c r="C49">
        <v>2451</v>
      </c>
      <c r="D49">
        <v>78</v>
      </c>
      <c r="E49" t="s">
        <v>10</v>
      </c>
      <c r="F49" t="str">
        <f>IFERROR(VLOOKUP($A49,[1]data!$A$2:$G$51,2,FALSE),"nodata")</f>
        <v>nodata</v>
      </c>
      <c r="G49" t="str">
        <f>IFERROR(VLOOKUP($A49,[1]data!$A$2:$G$51,3,FALSE),"nodata")</f>
        <v>nodata</v>
      </c>
      <c r="H49" t="str">
        <f>IFERROR(VLOOKUP($A49,[1]data!$A$2:$G$51,4,FALSE),"nodata")</f>
        <v>nodata</v>
      </c>
      <c r="I49" t="str">
        <f>IFERROR(VLOOKUP($A49,[1]data!$A$2:$G$51,5,FALSE),"nodata")</f>
        <v>nodata</v>
      </c>
      <c r="J49" t="str">
        <f>IFERROR(VLOOKUP($A49,[1]data!$A$2:$G$51,6,FALSE),"nodata")</f>
        <v>nodata</v>
      </c>
      <c r="K49" t="str">
        <f>IFERROR(VLOOKUP($A49,[1]data!$A$2:$G$51,7,FALSE),"nodata")</f>
        <v>nodata</v>
      </c>
      <c r="L49">
        <v>813912</v>
      </c>
      <c r="M49" t="str">
        <f>IFERROR(J49/L49,"nodata")</f>
        <v>nodata</v>
      </c>
    </row>
    <row r="50" spans="1:13" x14ac:dyDescent="0.2">
      <c r="A50" t="s">
        <v>93</v>
      </c>
      <c r="B50">
        <v>152</v>
      </c>
      <c r="C50">
        <v>3229</v>
      </c>
      <c r="D50">
        <v>85</v>
      </c>
      <c r="E50" t="s">
        <v>6</v>
      </c>
      <c r="F50" t="str">
        <f>IFERROR(VLOOKUP($A50,[1]data!$A$2:$G$51,2,FALSE),"nodata")</f>
        <v>nodata</v>
      </c>
      <c r="G50" t="str">
        <f>IFERROR(VLOOKUP($A50,[1]data!$A$2:$G$51,3,FALSE),"nodata")</f>
        <v>nodata</v>
      </c>
      <c r="H50" t="str">
        <f>IFERROR(VLOOKUP($A50,[1]data!$A$2:$G$51,4,FALSE),"nodata")</f>
        <v>nodata</v>
      </c>
      <c r="I50" t="str">
        <f>IFERROR(VLOOKUP($A50,[1]data!$A$2:$G$51,5,FALSE),"nodata")</f>
        <v>nodata</v>
      </c>
      <c r="J50" t="str">
        <f>IFERROR(VLOOKUP($A50,[1]data!$A$2:$G$51,6,FALSE),"nodata")</f>
        <v>nodata</v>
      </c>
      <c r="K50" t="str">
        <f>IFERROR(VLOOKUP($A50,[1]data!$A$2:$G$51,7,FALSE),"nodata")</f>
        <v>nodata</v>
      </c>
      <c r="L50">
        <v>116398</v>
      </c>
      <c r="M50" t="str">
        <f>IFERROR(J50/L50,"nodata")</f>
        <v>nodata</v>
      </c>
    </row>
    <row r="51" spans="1:13" x14ac:dyDescent="0.2">
      <c r="A51" t="s">
        <v>117</v>
      </c>
      <c r="B51">
        <v>151</v>
      </c>
      <c r="C51">
        <v>397</v>
      </c>
      <c r="D51">
        <v>75</v>
      </c>
      <c r="E51" t="s">
        <v>6</v>
      </c>
      <c r="F51" t="str">
        <f>IFERROR(VLOOKUP($A51,[1]data!$A$2:$G$51,2,FALSE),"nodata")</f>
        <v>nodata</v>
      </c>
      <c r="G51" t="str">
        <f>IFERROR(VLOOKUP($A51,[1]data!$A$2:$G$51,3,FALSE),"nodata")</f>
        <v>nodata</v>
      </c>
      <c r="H51" t="str">
        <f>IFERROR(VLOOKUP($A51,[1]data!$A$2:$G$51,4,FALSE),"nodata")</f>
        <v>nodata</v>
      </c>
      <c r="I51" t="str">
        <f>IFERROR(VLOOKUP($A51,[1]data!$A$2:$G$51,5,FALSE),"nodata")</f>
        <v>nodata</v>
      </c>
      <c r="J51" t="str">
        <f>IFERROR(VLOOKUP($A51,[1]data!$A$2:$G$51,6,FALSE),"nodata")</f>
        <v>nodata</v>
      </c>
      <c r="K51" t="str">
        <f>IFERROR(VLOOKUP($A51,[1]data!$A$2:$G$51,7,FALSE),"nodata")</f>
        <v>nodata</v>
      </c>
      <c r="L51">
        <v>105544</v>
      </c>
      <c r="M51" t="str">
        <f>IFERROR(J51/L51,"nodata")</f>
        <v>nodata</v>
      </c>
    </row>
    <row r="52" spans="1:13" x14ac:dyDescent="0.2">
      <c r="A52" s="6" t="s">
        <v>129</v>
      </c>
      <c r="B52">
        <v>150</v>
      </c>
      <c r="C52">
        <v>5427</v>
      </c>
      <c r="D52">
        <v>16</v>
      </c>
      <c r="E52" t="s">
        <v>10</v>
      </c>
      <c r="F52">
        <f>IFERROR(VLOOKUP($A52,[1]data!$A$2:$G$51,2,FALSE),"nodata")</f>
        <v>1183766</v>
      </c>
      <c r="G52">
        <f>IFERROR(VLOOKUP($A52,[1]data!$A$2:$G$51,3,FALSE),"nodata")</f>
        <v>8829</v>
      </c>
      <c r="H52">
        <f>IFERROR(VLOOKUP($A52,[1]data!$A$2:$G$51,4,FALSE),"nodata")</f>
        <v>15669</v>
      </c>
      <c r="I52">
        <f>IFERROR(VLOOKUP($A52,[1]data!$A$2:$G$51,5,FALSE),"nodata")</f>
        <v>14628</v>
      </c>
      <c r="J52">
        <f>IFERROR(VLOOKUP($A52,[1]data!$A$2:$G$51,6,FALSE),"nodata")</f>
        <v>39126</v>
      </c>
      <c r="K52">
        <f>IFERROR(VLOOKUP($A52,[1]data!$A$2:$G$51,7,FALSE),"nodata")</f>
        <v>3.3052140372337099E-2</v>
      </c>
      <c r="L52">
        <v>21477348</v>
      </c>
      <c r="M52">
        <f>IFERROR(J52/L52,"nodata")</f>
        <v>1.8217332977982198E-3</v>
      </c>
    </row>
    <row r="53" spans="1:13" x14ac:dyDescent="0.2">
      <c r="A53" t="s">
        <v>26</v>
      </c>
      <c r="B53">
        <v>149</v>
      </c>
      <c r="C53">
        <v>687</v>
      </c>
      <c r="D53">
        <v>93</v>
      </c>
      <c r="E53" t="s">
        <v>6</v>
      </c>
      <c r="F53" t="str">
        <f>IFERROR(VLOOKUP($A53,[1]data!$A$2:$G$51,2,FALSE),"nodata")</f>
        <v>nodata</v>
      </c>
      <c r="G53" t="str">
        <f>IFERROR(VLOOKUP($A53,[1]data!$A$2:$G$51,3,FALSE),"nodata")</f>
        <v>nodata</v>
      </c>
      <c r="H53" t="str">
        <f>IFERROR(VLOOKUP($A53,[1]data!$A$2:$G$51,4,FALSE),"nodata")</f>
        <v>nodata</v>
      </c>
      <c r="I53" t="str">
        <f>IFERROR(VLOOKUP($A53,[1]data!$A$2:$G$51,5,FALSE),"nodata")</f>
        <v>nodata</v>
      </c>
      <c r="J53" t="str">
        <f>IFERROR(VLOOKUP($A53,[1]data!$A$2:$G$51,6,FALSE),"nodata")</f>
        <v>nodata</v>
      </c>
      <c r="K53" t="str">
        <f>IFERROR(VLOOKUP($A53,[1]data!$A$2:$G$51,7,FALSE),"nodata")</f>
        <v>nodata</v>
      </c>
      <c r="L53">
        <v>11051600</v>
      </c>
      <c r="M53" t="str">
        <f>IFERROR(J53/L53,"nodata")</f>
        <v>nodata</v>
      </c>
    </row>
    <row r="54" spans="1:13" x14ac:dyDescent="0.2">
      <c r="A54" t="s">
        <v>154</v>
      </c>
      <c r="B54">
        <v>148</v>
      </c>
      <c r="C54">
        <v>4224</v>
      </c>
      <c r="D54">
        <v>20</v>
      </c>
      <c r="E54" t="s">
        <v>10</v>
      </c>
      <c r="F54">
        <f>IFERROR(VLOOKUP($A54,[1]data!$A$2:$G$51,2,FALSE),"nodata")</f>
        <v>72322</v>
      </c>
      <c r="G54">
        <f>IFERROR(VLOOKUP($A54,[1]data!$A$2:$G$51,3,FALSE),"nodata")</f>
        <v>197</v>
      </c>
      <c r="H54">
        <f>IFERROR(VLOOKUP($A54,[1]data!$A$2:$G$51,4,FALSE),"nodata")</f>
        <v>1499</v>
      </c>
      <c r="I54">
        <f>IFERROR(VLOOKUP($A54,[1]data!$A$2:$G$51,5,FALSE),"nodata")</f>
        <v>0</v>
      </c>
      <c r="J54">
        <f>IFERROR(VLOOKUP($A54,[1]data!$A$2:$G$51,6,FALSE),"nodata")</f>
        <v>1696</v>
      </c>
      <c r="K54">
        <f>IFERROR(VLOOKUP($A54,[1]data!$A$2:$G$51,7,FALSE),"nodata")</f>
        <v>2.3450678908216033E-2</v>
      </c>
      <c r="L54">
        <v>7557212</v>
      </c>
      <c r="M54">
        <f>IFERROR(J54/L54,"nodata")</f>
        <v>2.2442138714647678E-4</v>
      </c>
    </row>
    <row r="55" spans="1:13" x14ac:dyDescent="0.2">
      <c r="A55" t="s">
        <v>151</v>
      </c>
      <c r="B55">
        <v>147</v>
      </c>
      <c r="C55">
        <v>3822</v>
      </c>
      <c r="D55">
        <v>65</v>
      </c>
      <c r="E55" t="s">
        <v>10</v>
      </c>
      <c r="F55">
        <f>IFERROR(VLOOKUP($A55,[1]data!$A$2:$G$51,2,FALSE),"nodata")</f>
        <v>196761</v>
      </c>
      <c r="G55">
        <f>IFERROR(VLOOKUP($A55,[1]data!$A$2:$G$51,3,FALSE),"nodata")</f>
        <v>1537</v>
      </c>
      <c r="H55">
        <f>IFERROR(VLOOKUP($A55,[1]data!$A$2:$G$51,4,FALSE),"nodata")</f>
        <v>7519</v>
      </c>
      <c r="I55">
        <f>IFERROR(VLOOKUP($A55,[1]data!$A$2:$G$51,5,FALSE),"nodata")</f>
        <v>5454</v>
      </c>
      <c r="J55">
        <f>IFERROR(VLOOKUP($A55,[1]data!$A$2:$G$51,6,FALSE),"nodata")</f>
        <v>14510</v>
      </c>
      <c r="K55">
        <f>IFERROR(VLOOKUP($A55,[1]data!$A$2:$G$51,7,FALSE),"nodata")</f>
        <v>7.3744288756410065E-2</v>
      </c>
      <c r="L55">
        <v>15850567</v>
      </c>
      <c r="M55">
        <f>IFERROR(J55/L55,"nodata")</f>
        <v>9.1542466588103756E-4</v>
      </c>
    </row>
    <row r="56" spans="1:13" x14ac:dyDescent="0.2">
      <c r="A56" t="s">
        <v>32</v>
      </c>
      <c r="B56">
        <v>146</v>
      </c>
      <c r="C56">
        <v>10028</v>
      </c>
      <c r="D56">
        <v>19</v>
      </c>
      <c r="E56" t="s">
        <v>10</v>
      </c>
      <c r="F56">
        <f>IFERROR(VLOOKUP($A56,[1]data!$A$2:$G$51,2,FALSE),"nodata")</f>
        <v>273367</v>
      </c>
      <c r="G56">
        <f>IFERROR(VLOOKUP($A56,[1]data!$A$2:$G$51,3,FALSE),"nodata")</f>
        <v>0</v>
      </c>
      <c r="H56">
        <f>IFERROR(VLOOKUP($A56,[1]data!$A$2:$G$51,4,FALSE),"nodata")</f>
        <v>7742</v>
      </c>
      <c r="I56">
        <f>IFERROR(VLOOKUP($A56,[1]data!$A$2:$G$51,5,FALSE),"nodata")</f>
        <v>4154</v>
      </c>
      <c r="J56">
        <f>IFERROR(VLOOKUP($A56,[1]data!$A$2:$G$51,6,FALSE),"nodata")</f>
        <v>11896</v>
      </c>
      <c r="K56">
        <f>IFERROR(VLOOKUP($A56,[1]data!$A$2:$G$51,7,FALSE),"nodata")</f>
        <v>4.3516591249126629E-2</v>
      </c>
      <c r="L56">
        <v>19193382</v>
      </c>
      <c r="M56">
        <f>IFERROR(J56/L56,"nodata")</f>
        <v>6.1979696960129274E-4</v>
      </c>
    </row>
    <row r="57" spans="1:13" x14ac:dyDescent="0.2">
      <c r="A57" t="s">
        <v>66</v>
      </c>
      <c r="B57">
        <v>145</v>
      </c>
      <c r="C57">
        <v>3569</v>
      </c>
      <c r="D57">
        <v>48</v>
      </c>
      <c r="E57" t="s">
        <v>10</v>
      </c>
      <c r="F57">
        <f>IFERROR(VLOOKUP($A57,[1]data!$A$2:$G$51,2,FALSE),"nodata")</f>
        <v>10797</v>
      </c>
      <c r="G57">
        <f>IFERROR(VLOOKUP($A57,[1]data!$A$2:$G$51,3,FALSE),"nodata")</f>
        <v>316</v>
      </c>
      <c r="H57">
        <f>IFERROR(VLOOKUP($A57,[1]data!$A$2:$G$51,4,FALSE),"nodata")</f>
        <v>474</v>
      </c>
      <c r="I57">
        <f>IFERROR(VLOOKUP($A57,[1]data!$A$2:$G$51,5,FALSE),"nodata")</f>
        <v>173</v>
      </c>
      <c r="J57">
        <f>IFERROR(VLOOKUP($A57,[1]data!$A$2:$G$51,6,FALSE),"nodata")</f>
        <v>963</v>
      </c>
      <c r="K57">
        <f>IFERROR(VLOOKUP($A57,[1]data!$A$2:$G$51,7,FALSE),"nodata")</f>
        <v>8.9191442067240903E-2</v>
      </c>
      <c r="L57">
        <v>2100568</v>
      </c>
      <c r="M57">
        <f>IFERROR(J57/L57,"nodata")</f>
        <v>4.584474294571754E-4</v>
      </c>
    </row>
    <row r="58" spans="1:13" x14ac:dyDescent="0.2">
      <c r="A58" t="s">
        <v>133</v>
      </c>
      <c r="B58">
        <v>144</v>
      </c>
      <c r="C58">
        <v>1772</v>
      </c>
      <c r="D58">
        <v>99</v>
      </c>
      <c r="E58" t="s">
        <v>6</v>
      </c>
      <c r="F58" t="str">
        <f>IFERROR(VLOOKUP($A58,[1]data!$A$2:$G$51,2,FALSE),"nodata")</f>
        <v>nodata</v>
      </c>
      <c r="G58" t="str">
        <f>IFERROR(VLOOKUP($A58,[1]data!$A$2:$G$51,3,FALSE),"nodata")</f>
        <v>nodata</v>
      </c>
      <c r="H58" t="str">
        <f>IFERROR(VLOOKUP($A58,[1]data!$A$2:$G$51,4,FALSE),"nodata")</f>
        <v>nodata</v>
      </c>
      <c r="I58" t="str">
        <f>IFERROR(VLOOKUP($A58,[1]data!$A$2:$G$51,5,FALSE),"nodata")</f>
        <v>nodata</v>
      </c>
      <c r="J58" t="str">
        <f>IFERROR(VLOOKUP($A58,[1]data!$A$2:$G$51,6,FALSE),"nodata")</f>
        <v>nodata</v>
      </c>
      <c r="K58" t="str">
        <f>IFERROR(VLOOKUP($A58,[1]data!$A$2:$G$51,7,FALSE),"nodata")</f>
        <v>nodata</v>
      </c>
      <c r="L58">
        <v>197015955</v>
      </c>
      <c r="M58" t="str">
        <f>IFERROR(J58/L58,"nodata")</f>
        <v>nodata</v>
      </c>
    </row>
    <row r="59" spans="1:13" x14ac:dyDescent="0.2">
      <c r="A59" t="s">
        <v>113</v>
      </c>
      <c r="B59">
        <v>143</v>
      </c>
      <c r="C59">
        <v>712</v>
      </c>
      <c r="D59">
        <v>93</v>
      </c>
      <c r="E59" t="s">
        <v>6</v>
      </c>
      <c r="F59" t="str">
        <f>IFERROR(VLOOKUP($A59,[1]data!$A$2:$G$51,2,FALSE),"nodata")</f>
        <v>nodata</v>
      </c>
      <c r="G59" t="str">
        <f>IFERROR(VLOOKUP($A59,[1]data!$A$2:$G$51,3,FALSE),"nodata")</f>
        <v>nodata</v>
      </c>
      <c r="H59" t="str">
        <f>IFERROR(VLOOKUP($A59,[1]data!$A$2:$G$51,4,FALSE),"nodata")</f>
        <v>nodata</v>
      </c>
      <c r="I59" t="str">
        <f>IFERROR(VLOOKUP($A59,[1]data!$A$2:$G$51,5,FALSE),"nodata")</f>
        <v>nodata</v>
      </c>
      <c r="J59" t="str">
        <f>IFERROR(VLOOKUP($A59,[1]data!$A$2:$G$51,6,FALSE),"nodata")</f>
        <v>nodata</v>
      </c>
      <c r="K59" t="str">
        <f>IFERROR(VLOOKUP($A59,[1]data!$A$2:$G$51,7,FALSE),"nodata")</f>
        <v>nodata</v>
      </c>
      <c r="L59">
        <v>53127</v>
      </c>
      <c r="M59" t="str">
        <f>IFERROR(J59/L59,"nodata")</f>
        <v>nodata</v>
      </c>
    </row>
    <row r="60" spans="1:13" x14ac:dyDescent="0.2">
      <c r="A60" t="s">
        <v>46</v>
      </c>
      <c r="B60">
        <v>142</v>
      </c>
      <c r="C60">
        <v>2590</v>
      </c>
      <c r="D60">
        <v>64</v>
      </c>
      <c r="E60" t="s">
        <v>10</v>
      </c>
      <c r="F60">
        <f>IFERROR(VLOOKUP($A60,[1]data!$A$2:$G$51,2,FALSE),"nodata")</f>
        <v>321882</v>
      </c>
      <c r="G60">
        <f>IFERROR(VLOOKUP($A60,[1]data!$A$2:$G$51,3,FALSE),"nodata")</f>
        <v>221</v>
      </c>
      <c r="H60">
        <f>IFERROR(VLOOKUP($A60,[1]data!$A$2:$G$51,4,FALSE),"nodata")</f>
        <v>10325</v>
      </c>
      <c r="I60">
        <f>IFERROR(VLOOKUP($A60,[1]data!$A$2:$G$51,5,FALSE),"nodata")</f>
        <v>430</v>
      </c>
      <c r="J60">
        <f>IFERROR(VLOOKUP($A60,[1]data!$A$2:$G$51,6,FALSE),"nodata")</f>
        <v>10976</v>
      </c>
      <c r="K60">
        <f>IFERROR(VLOOKUP($A60,[1]data!$A$2:$G$51,7,FALSE),"nodata")</f>
        <v>3.4099452594429015E-2</v>
      </c>
      <c r="L60">
        <v>24294750</v>
      </c>
      <c r="M60">
        <f>IFERROR(J60/L60,"nodata")</f>
        <v>4.5178485063645439E-4</v>
      </c>
    </row>
    <row r="61" spans="1:13" x14ac:dyDescent="0.2">
      <c r="A61" t="s">
        <v>111</v>
      </c>
      <c r="B61">
        <v>141</v>
      </c>
      <c r="C61">
        <v>2965</v>
      </c>
      <c r="D61">
        <v>35</v>
      </c>
      <c r="E61" t="s">
        <v>10</v>
      </c>
      <c r="F61">
        <f>IFERROR(VLOOKUP($A61,[1]data!$A$2:$G$51,2,FALSE),"nodata")</f>
        <v>1251574</v>
      </c>
      <c r="G61">
        <f>IFERROR(VLOOKUP($A61,[1]data!$A$2:$G$51,3,FALSE),"nodata")</f>
        <v>0</v>
      </c>
      <c r="H61">
        <f>IFERROR(VLOOKUP($A61,[1]data!$A$2:$G$51,4,FALSE),"nodata")</f>
        <v>7906</v>
      </c>
      <c r="I61">
        <f>IFERROR(VLOOKUP($A61,[1]data!$A$2:$G$51,5,FALSE),"nodata")</f>
        <v>1923</v>
      </c>
      <c r="J61">
        <f>IFERROR(VLOOKUP($A61,[1]data!$A$2:$G$51,6,FALSE),"nodata")</f>
        <v>9829</v>
      </c>
      <c r="K61">
        <f>IFERROR(VLOOKUP($A61,[1]data!$A$2:$G$51,7,FALSE),"nodata")</f>
        <v>7.8533111106494705E-3</v>
      </c>
      <c r="L61">
        <v>18541980</v>
      </c>
      <c r="M61">
        <f>IFERROR(J61/L61,"nodata")</f>
        <v>5.300944127865525E-4</v>
      </c>
    </row>
    <row r="62" spans="1:13" x14ac:dyDescent="0.2">
      <c r="A62" t="s">
        <v>191</v>
      </c>
      <c r="B62">
        <v>140</v>
      </c>
      <c r="C62">
        <v>1541</v>
      </c>
      <c r="D62">
        <v>100</v>
      </c>
      <c r="E62" t="s">
        <v>6</v>
      </c>
      <c r="F62" t="str">
        <f>IFERROR(VLOOKUP($A62,[1]data!$A$2:$G$51,2,FALSE),"nodata")</f>
        <v>nodata</v>
      </c>
      <c r="G62" t="str">
        <f>IFERROR(VLOOKUP($A62,[1]data!$A$2:$G$51,3,FALSE),"nodata")</f>
        <v>nodata</v>
      </c>
      <c r="H62" t="str">
        <f>IFERROR(VLOOKUP($A62,[1]data!$A$2:$G$51,4,FALSE),"nodata")</f>
        <v>nodata</v>
      </c>
      <c r="I62" t="str">
        <f>IFERROR(VLOOKUP($A62,[1]data!$A$2:$G$51,5,FALSE),"nodata")</f>
        <v>nodata</v>
      </c>
      <c r="J62" t="str">
        <f>IFERROR(VLOOKUP($A62,[1]data!$A$2:$G$51,6,FALSE),"nodata")</f>
        <v>nodata</v>
      </c>
      <c r="K62" t="str">
        <f>IFERROR(VLOOKUP($A62,[1]data!$A$2:$G$51,7,FALSE),"nodata")</f>
        <v>nodata</v>
      </c>
      <c r="L62">
        <v>4684777</v>
      </c>
      <c r="M62" t="str">
        <f>IFERROR(J62/L62,"nodata")</f>
        <v>nodata</v>
      </c>
    </row>
    <row r="63" spans="1:13" x14ac:dyDescent="0.2">
      <c r="A63" t="s">
        <v>98</v>
      </c>
      <c r="B63">
        <v>139</v>
      </c>
      <c r="C63">
        <v>1409</v>
      </c>
      <c r="D63">
        <v>87</v>
      </c>
      <c r="E63" t="s">
        <v>6</v>
      </c>
      <c r="F63" t="str">
        <f>IFERROR(VLOOKUP($A63,[1]data!$A$2:$G$51,2,FALSE),"nodata")</f>
        <v>nodata</v>
      </c>
      <c r="G63" t="str">
        <f>IFERROR(VLOOKUP($A63,[1]data!$A$2:$G$51,3,FALSE),"nodata")</f>
        <v>nodata</v>
      </c>
      <c r="H63" t="str">
        <f>IFERROR(VLOOKUP($A63,[1]data!$A$2:$G$51,4,FALSE),"nodata")</f>
        <v>nodata</v>
      </c>
      <c r="I63" t="str">
        <f>IFERROR(VLOOKUP($A63,[1]data!$A$2:$G$51,5,FALSE),"nodata")</f>
        <v>nodata</v>
      </c>
      <c r="J63" t="str">
        <f>IFERROR(VLOOKUP($A63,[1]data!$A$2:$G$51,6,FALSE),"nodata")</f>
        <v>nodata</v>
      </c>
      <c r="K63" t="str">
        <f>IFERROR(VLOOKUP($A63,[1]data!$A$2:$G$51,7,FALSE),"nodata")</f>
        <v>nodata</v>
      </c>
      <c r="L63">
        <v>6858160</v>
      </c>
      <c r="M63" t="str">
        <f>IFERROR(J63/L63,"nodata")</f>
        <v>nodata</v>
      </c>
    </row>
    <row r="64" spans="1:13" x14ac:dyDescent="0.2">
      <c r="A64" t="s">
        <v>71</v>
      </c>
      <c r="B64">
        <v>138</v>
      </c>
      <c r="C64">
        <v>191</v>
      </c>
      <c r="D64">
        <v>92</v>
      </c>
      <c r="E64" t="s">
        <v>6</v>
      </c>
      <c r="F64" t="str">
        <f>IFERROR(VLOOKUP($A64,[1]data!$A$2:$G$51,2,FALSE),"nodata")</f>
        <v>nodata</v>
      </c>
      <c r="G64" t="str">
        <f>IFERROR(VLOOKUP($A64,[1]data!$A$2:$G$51,3,FALSE),"nodata")</f>
        <v>nodata</v>
      </c>
      <c r="H64" t="str">
        <f>IFERROR(VLOOKUP($A64,[1]data!$A$2:$G$51,4,FALSE),"nodata")</f>
        <v>nodata</v>
      </c>
      <c r="I64" t="str">
        <f>IFERROR(VLOOKUP($A64,[1]data!$A$2:$G$51,5,FALSE),"nodata")</f>
        <v>nodata</v>
      </c>
      <c r="J64" t="str">
        <f>IFERROR(VLOOKUP($A64,[1]data!$A$2:$G$51,6,FALSE),"nodata")</f>
        <v>nodata</v>
      </c>
      <c r="K64" t="str">
        <f>IFERROR(VLOOKUP($A64,[1]data!$A$2:$G$51,7,FALSE),"nodata")</f>
        <v>nodata</v>
      </c>
      <c r="L64">
        <v>107825</v>
      </c>
      <c r="M64" t="str">
        <f>IFERROR(J64/L64,"nodata")</f>
        <v>nodata</v>
      </c>
    </row>
    <row r="65" spans="1:13" x14ac:dyDescent="0.2">
      <c r="A65" s="6" t="s">
        <v>122</v>
      </c>
      <c r="B65">
        <v>137</v>
      </c>
      <c r="C65">
        <v>2509</v>
      </c>
      <c r="D65">
        <v>24</v>
      </c>
      <c r="E65" t="s">
        <v>10</v>
      </c>
      <c r="F65">
        <f>IFERROR(VLOOKUP($A65,[1]data!$A$2:$G$51,2,FALSE),"nodata")</f>
        <v>786096</v>
      </c>
      <c r="G65">
        <f>IFERROR(VLOOKUP($A65,[1]data!$A$2:$G$51,3,FALSE),"nodata")</f>
        <v>16851</v>
      </c>
      <c r="H65">
        <f>IFERROR(VLOOKUP($A65,[1]data!$A$2:$G$51,4,FALSE),"nodata")</f>
        <v>22024</v>
      </c>
      <c r="I65">
        <f>IFERROR(VLOOKUP($A65,[1]data!$A$2:$G$51,5,FALSE),"nodata")</f>
        <v>10805</v>
      </c>
      <c r="J65">
        <f>IFERROR(VLOOKUP($A65,[1]data!$A$2:$G$51,6,FALSE),"nodata")</f>
        <v>49680</v>
      </c>
      <c r="K65">
        <f>IFERROR(VLOOKUP($A65,[1]data!$A$2:$G$51,7,FALSE),"nodata")</f>
        <v>6.31983879831471E-2</v>
      </c>
      <c r="L65">
        <v>29668834</v>
      </c>
      <c r="M65">
        <f>IFERROR(J65/L65,"nodata")</f>
        <v>1.6744844101389358E-3</v>
      </c>
    </row>
    <row r="66" spans="1:13" x14ac:dyDescent="0.2">
      <c r="A66" t="s">
        <v>134</v>
      </c>
      <c r="B66">
        <v>136</v>
      </c>
      <c r="C66">
        <v>65</v>
      </c>
      <c r="D66">
        <v>99</v>
      </c>
      <c r="E66" t="s">
        <v>6</v>
      </c>
      <c r="F66" t="str">
        <f>IFERROR(VLOOKUP($A66,[1]data!$A$2:$G$51,2,FALSE),"nodata")</f>
        <v>nodata</v>
      </c>
      <c r="G66" t="str">
        <f>IFERROR(VLOOKUP($A66,[1]data!$A$2:$G$51,3,FALSE),"nodata")</f>
        <v>nodata</v>
      </c>
      <c r="H66" t="str">
        <f>IFERROR(VLOOKUP($A66,[1]data!$A$2:$G$51,4,FALSE),"nodata")</f>
        <v>nodata</v>
      </c>
      <c r="I66" t="str">
        <f>IFERROR(VLOOKUP($A66,[1]data!$A$2:$G$51,5,FALSE),"nodata")</f>
        <v>nodata</v>
      </c>
      <c r="J66" t="str">
        <f>IFERROR(VLOOKUP($A66,[1]data!$A$2:$G$51,6,FALSE),"nodata")</f>
        <v>nodata</v>
      </c>
      <c r="K66" t="str">
        <f>IFERROR(VLOOKUP($A66,[1]data!$A$2:$G$51,7,FALSE),"nodata")</f>
        <v>nodata</v>
      </c>
      <c r="L66">
        <v>21729</v>
      </c>
      <c r="M66" t="str">
        <f>IFERROR(J66/L66,"nodata")</f>
        <v>nodata</v>
      </c>
    </row>
    <row r="67" spans="1:13" x14ac:dyDescent="0.2">
      <c r="A67" t="s">
        <v>110</v>
      </c>
      <c r="B67">
        <v>135</v>
      </c>
      <c r="C67">
        <v>322</v>
      </c>
      <c r="D67">
        <v>100</v>
      </c>
      <c r="E67" t="s">
        <v>6</v>
      </c>
      <c r="F67" t="str">
        <f>IFERROR(VLOOKUP($A67,[1]data!$A$2:$G$51,2,FALSE),"nodata")</f>
        <v>nodata</v>
      </c>
      <c r="G67" t="str">
        <f>IFERROR(VLOOKUP($A67,[1]data!$A$2:$G$51,3,FALSE),"nodata")</f>
        <v>nodata</v>
      </c>
      <c r="H67" t="str">
        <f>IFERROR(VLOOKUP($A67,[1]data!$A$2:$G$51,4,FALSE),"nodata")</f>
        <v>nodata</v>
      </c>
      <c r="I67" t="str">
        <f>IFERROR(VLOOKUP($A67,[1]data!$A$2:$G$51,5,FALSE),"nodata")</f>
        <v>nodata</v>
      </c>
      <c r="J67" t="str">
        <f>IFERROR(VLOOKUP($A67,[1]data!$A$2:$G$51,6,FALSE),"nodata")</f>
        <v>nodata</v>
      </c>
      <c r="K67" t="str">
        <f>IFERROR(VLOOKUP($A67,[1]data!$A$2:$G$51,7,FALSE),"nodata")</f>
        <v>nodata</v>
      </c>
      <c r="L67">
        <v>436330</v>
      </c>
      <c r="M67" t="str">
        <f>IFERROR(J67/L67,"nodata")</f>
        <v>nodata</v>
      </c>
    </row>
    <row r="68" spans="1:13" x14ac:dyDescent="0.2">
      <c r="A68" t="s">
        <v>164</v>
      </c>
      <c r="B68">
        <v>134</v>
      </c>
      <c r="C68">
        <v>241</v>
      </c>
      <c r="D68">
        <v>100</v>
      </c>
      <c r="E68" t="s">
        <v>6</v>
      </c>
      <c r="F68" t="str">
        <f>IFERROR(VLOOKUP($A68,[1]data!$A$2:$G$51,2,FALSE),"nodata")</f>
        <v>nodata</v>
      </c>
      <c r="G68" t="str">
        <f>IFERROR(VLOOKUP($A68,[1]data!$A$2:$G$51,3,FALSE),"nodata")</f>
        <v>nodata</v>
      </c>
      <c r="H68" t="str">
        <f>IFERROR(VLOOKUP($A68,[1]data!$A$2:$G$51,4,FALSE),"nodata")</f>
        <v>nodata</v>
      </c>
      <c r="I68" t="str">
        <f>IFERROR(VLOOKUP($A68,[1]data!$A$2:$G$51,5,FALSE),"nodata")</f>
        <v>nodata</v>
      </c>
      <c r="J68" t="str">
        <f>IFERROR(VLOOKUP($A68,[1]data!$A$2:$G$51,6,FALSE),"nodata")</f>
        <v>nodata</v>
      </c>
      <c r="K68" t="str">
        <f>IFERROR(VLOOKUP($A68,[1]data!$A$2:$G$51,7,FALSE),"nodata")</f>
        <v>nodata</v>
      </c>
      <c r="L68">
        <v>55345</v>
      </c>
      <c r="M68" t="str">
        <f>IFERROR(J68/L68,"nodata")</f>
        <v>nodata</v>
      </c>
    </row>
    <row r="69" spans="1:13" x14ac:dyDescent="0.2">
      <c r="A69" t="s">
        <v>108</v>
      </c>
      <c r="B69">
        <v>133</v>
      </c>
      <c r="C69">
        <v>2688</v>
      </c>
      <c r="D69">
        <v>11</v>
      </c>
      <c r="E69" t="s">
        <v>10</v>
      </c>
      <c r="F69">
        <f>IFERROR(VLOOKUP($A69,[1]data!$A$2:$G$51,2,FALSE),"nodata")</f>
        <v>118062</v>
      </c>
      <c r="G69">
        <f>IFERROR(VLOOKUP($A69,[1]data!$A$2:$G$51,3,FALSE),"nodata")</f>
        <v>4474</v>
      </c>
      <c r="H69">
        <f>IFERROR(VLOOKUP($A69,[1]data!$A$2:$G$51,4,FALSE),"nodata")</f>
        <v>5210</v>
      </c>
      <c r="I69">
        <f>IFERROR(VLOOKUP($A69,[1]data!$A$2:$G$51,5,FALSE),"nodata")</f>
        <v>1986</v>
      </c>
      <c r="J69">
        <f>IFERROR(VLOOKUP($A69,[1]data!$A$2:$G$51,6,FALSE),"nodata")</f>
        <v>11670</v>
      </c>
      <c r="K69">
        <f>IFERROR(VLOOKUP($A69,[1]data!$A$2:$G$51,7,FALSE),"nodata")</f>
        <v>9.884636885704122E-2</v>
      </c>
      <c r="L69">
        <v>18622104</v>
      </c>
      <c r="M69">
        <f>IFERROR(J69/L69,"nodata")</f>
        <v>6.266746228030946E-4</v>
      </c>
    </row>
    <row r="70" spans="1:13" x14ac:dyDescent="0.2">
      <c r="A70" t="s">
        <v>173</v>
      </c>
      <c r="B70">
        <v>132</v>
      </c>
      <c r="C70">
        <v>948</v>
      </c>
      <c r="D70">
        <v>33</v>
      </c>
      <c r="E70" t="s">
        <v>10</v>
      </c>
      <c r="F70">
        <f>IFERROR(VLOOKUP($A70,[1]data!$A$2:$G$51,2,FALSE),"nodata")</f>
        <v>941758</v>
      </c>
      <c r="G70">
        <f>IFERROR(VLOOKUP($A70,[1]data!$A$2:$G$51,3,FALSE),"nodata")</f>
        <v>31482</v>
      </c>
      <c r="H70">
        <f>IFERROR(VLOOKUP($A70,[1]data!$A$2:$G$51,4,FALSE),"nodata")</f>
        <v>38804</v>
      </c>
      <c r="I70">
        <f>IFERROR(VLOOKUP($A70,[1]data!$A$2:$G$51,5,FALSE),"nodata")</f>
        <v>18456</v>
      </c>
      <c r="J70">
        <f>IFERROR(VLOOKUP($A70,[1]data!$A$2:$G$51,6,FALSE),"nodata")</f>
        <v>88742</v>
      </c>
      <c r="K70">
        <f>IFERROR(VLOOKUP($A70,[1]data!$A$2:$G$51,7,FALSE),"nodata")</f>
        <v>9.423015254449657E-2</v>
      </c>
      <c r="L70">
        <v>57310019</v>
      </c>
      <c r="M70">
        <f>IFERROR(J70/L70,"nodata")</f>
        <v>1.5484552535220762E-3</v>
      </c>
    </row>
    <row r="71" spans="1:13" x14ac:dyDescent="0.2">
      <c r="A71" t="s">
        <v>34</v>
      </c>
      <c r="B71">
        <v>131</v>
      </c>
      <c r="C71">
        <v>2172</v>
      </c>
      <c r="D71">
        <v>50</v>
      </c>
      <c r="E71" t="s">
        <v>6</v>
      </c>
      <c r="F71" t="str">
        <f>IFERROR(VLOOKUP($A71,[1]data!$A$2:$G$51,2,FALSE),"nodata")</f>
        <v>nodata</v>
      </c>
      <c r="G71" t="str">
        <f>IFERROR(VLOOKUP($A71,[1]data!$A$2:$G$51,3,FALSE),"nodata")</f>
        <v>nodata</v>
      </c>
      <c r="H71" t="str">
        <f>IFERROR(VLOOKUP($A71,[1]data!$A$2:$G$51,4,FALSE),"nodata")</f>
        <v>nodata</v>
      </c>
      <c r="I71" t="str">
        <f>IFERROR(VLOOKUP($A71,[1]data!$A$2:$G$51,5,FALSE),"nodata")</f>
        <v>nodata</v>
      </c>
      <c r="J71" t="str">
        <f>IFERROR(VLOOKUP($A71,[1]data!$A$2:$G$51,6,FALSE),"nodata")</f>
        <v>nodata</v>
      </c>
      <c r="K71" t="str">
        <f>IFERROR(VLOOKUP($A71,[1]data!$A$2:$G$51,7,FALSE),"nodata")</f>
        <v>nodata</v>
      </c>
      <c r="L71">
        <v>16005373</v>
      </c>
      <c r="M71" t="str">
        <f>IFERROR(J71/L71,"nodata")</f>
        <v>nodata</v>
      </c>
    </row>
    <row r="72" spans="1:13" x14ac:dyDescent="0.2">
      <c r="A72" t="s">
        <v>81</v>
      </c>
      <c r="B72">
        <v>130</v>
      </c>
      <c r="C72">
        <v>109</v>
      </c>
      <c r="D72">
        <v>85</v>
      </c>
      <c r="E72" t="s">
        <v>6</v>
      </c>
      <c r="F72" t="str">
        <f>IFERROR(VLOOKUP($A72,[1]data!$A$2:$G$51,2,FALSE),"nodata")</f>
        <v>nodata</v>
      </c>
      <c r="G72" t="str">
        <f>IFERROR(VLOOKUP($A72,[1]data!$A$2:$G$51,3,FALSE),"nodata")</f>
        <v>nodata</v>
      </c>
      <c r="H72" t="str">
        <f>IFERROR(VLOOKUP($A72,[1]data!$A$2:$G$51,4,FALSE),"nodata")</f>
        <v>nodata</v>
      </c>
      <c r="I72" t="str">
        <f>IFERROR(VLOOKUP($A72,[1]data!$A$2:$G$51,5,FALSE),"nodata")</f>
        <v>nodata</v>
      </c>
      <c r="J72" t="str">
        <f>IFERROR(VLOOKUP($A72,[1]data!$A$2:$G$51,6,FALSE),"nodata")</f>
        <v>nodata</v>
      </c>
      <c r="K72" t="str">
        <f>IFERROR(VLOOKUP($A72,[1]data!$A$2:$G$51,7,FALSE),"nodata")</f>
        <v>nodata</v>
      </c>
      <c r="L72">
        <v>1339180127</v>
      </c>
      <c r="M72" t="str">
        <f>IFERROR(J72/L72,"nodata")</f>
        <v>nodata</v>
      </c>
    </row>
    <row r="73" spans="1:13" x14ac:dyDescent="0.2">
      <c r="A73" t="s">
        <v>204</v>
      </c>
      <c r="B73">
        <v>129</v>
      </c>
      <c r="C73">
        <v>1027</v>
      </c>
      <c r="D73">
        <v>93</v>
      </c>
      <c r="E73" t="s">
        <v>10</v>
      </c>
      <c r="F73" t="str">
        <f>IFERROR(VLOOKUP($A73,[1]data!$A$2:$G$51,2,FALSE),"nodata")</f>
        <v>nodata</v>
      </c>
      <c r="G73" t="str">
        <f>IFERROR(VLOOKUP($A73,[1]data!$A$2:$G$51,3,FALSE),"nodata")</f>
        <v>nodata</v>
      </c>
      <c r="H73" t="str">
        <f>IFERROR(VLOOKUP($A73,[1]data!$A$2:$G$51,4,FALSE),"nodata")</f>
        <v>nodata</v>
      </c>
      <c r="I73" t="str">
        <f>IFERROR(VLOOKUP($A73,[1]data!$A$2:$G$51,5,FALSE),"nodata")</f>
        <v>nodata</v>
      </c>
      <c r="J73" t="str">
        <f>IFERROR(VLOOKUP($A73,[1]data!$A$2:$G$51,6,FALSE),"nodata")</f>
        <v>nodata</v>
      </c>
      <c r="K73" t="str">
        <f>IFERROR(VLOOKUP($A73,[1]data!$A$2:$G$51,7,FALSE),"nodata")</f>
        <v>nodata</v>
      </c>
      <c r="L73">
        <v>546388</v>
      </c>
      <c r="M73" t="str">
        <f>IFERROR(J73/L73,"nodata")</f>
        <v>nodata</v>
      </c>
    </row>
    <row r="74" spans="1:13" x14ac:dyDescent="0.2">
      <c r="A74" t="s">
        <v>172</v>
      </c>
      <c r="B74">
        <v>128</v>
      </c>
      <c r="C74">
        <v>743</v>
      </c>
      <c r="D74">
        <v>100</v>
      </c>
      <c r="E74" t="s">
        <v>6</v>
      </c>
      <c r="F74" t="str">
        <f>IFERROR(VLOOKUP($A74,[1]data!$A$2:$G$51,2,FALSE),"nodata")</f>
        <v>nodata</v>
      </c>
      <c r="G74" t="str">
        <f>IFERROR(VLOOKUP($A74,[1]data!$A$2:$G$51,3,FALSE),"nodata")</f>
        <v>nodata</v>
      </c>
      <c r="H74" t="str">
        <f>IFERROR(VLOOKUP($A74,[1]data!$A$2:$G$51,4,FALSE),"nodata")</f>
        <v>nodata</v>
      </c>
      <c r="I74" t="str">
        <f>IFERROR(VLOOKUP($A74,[1]data!$A$2:$G$51,5,FALSE),"nodata")</f>
        <v>nodata</v>
      </c>
      <c r="J74" t="str">
        <f>IFERROR(VLOOKUP($A74,[1]data!$A$2:$G$51,6,FALSE),"nodata")</f>
        <v>nodata</v>
      </c>
      <c r="K74" t="str">
        <f>IFERROR(VLOOKUP($A74,[1]data!$A$2:$G$51,7,FALSE),"nodata")</f>
        <v>nodata</v>
      </c>
      <c r="L74">
        <v>8921343</v>
      </c>
      <c r="M74" t="str">
        <f>IFERROR(J74/L74,"nodata")</f>
        <v>nodata</v>
      </c>
    </row>
    <row r="75" spans="1:13" x14ac:dyDescent="0.2">
      <c r="A75" t="s">
        <v>128</v>
      </c>
      <c r="B75">
        <v>127</v>
      </c>
      <c r="C75">
        <v>904</v>
      </c>
      <c r="D75">
        <v>82</v>
      </c>
      <c r="E75" t="s">
        <v>6</v>
      </c>
      <c r="F75" t="str">
        <f>IFERROR(VLOOKUP($A75,[1]data!$A$2:$G$51,2,FALSE),"nodata")</f>
        <v>nodata</v>
      </c>
      <c r="G75" t="str">
        <f>IFERROR(VLOOKUP($A75,[1]data!$A$2:$G$51,3,FALSE),"nodata")</f>
        <v>nodata</v>
      </c>
      <c r="H75" t="str">
        <f>IFERROR(VLOOKUP($A75,[1]data!$A$2:$G$51,4,FALSE),"nodata")</f>
        <v>nodata</v>
      </c>
      <c r="I75" t="str">
        <f>IFERROR(VLOOKUP($A75,[1]data!$A$2:$G$51,5,FALSE),"nodata")</f>
        <v>nodata</v>
      </c>
      <c r="J75" t="str">
        <f>IFERROR(VLOOKUP($A75,[1]data!$A$2:$G$51,6,FALSE),"nodata")</f>
        <v>nodata</v>
      </c>
      <c r="K75" t="str">
        <f>IFERROR(VLOOKUP($A75,[1]data!$A$2:$G$51,7,FALSE),"nodata")</f>
        <v>nodata</v>
      </c>
      <c r="L75">
        <v>6217581</v>
      </c>
      <c r="M75" t="str">
        <f>IFERROR(J75/L75,"nodata")</f>
        <v>nodata</v>
      </c>
    </row>
    <row r="76" spans="1:13" x14ac:dyDescent="0.2">
      <c r="A76" t="s">
        <v>100</v>
      </c>
      <c r="B76">
        <v>126</v>
      </c>
      <c r="C76">
        <v>125</v>
      </c>
      <c r="D76">
        <v>100</v>
      </c>
      <c r="E76" t="s">
        <v>6</v>
      </c>
      <c r="F76" t="str">
        <f>IFERROR(VLOOKUP($A76,[1]data!$A$2:$G$51,2,FALSE),"nodata")</f>
        <v>nodata</v>
      </c>
      <c r="G76" t="str">
        <f>IFERROR(VLOOKUP($A76,[1]data!$A$2:$G$51,3,FALSE),"nodata")</f>
        <v>nodata</v>
      </c>
      <c r="H76" t="str">
        <f>IFERROR(VLOOKUP($A76,[1]data!$A$2:$G$51,4,FALSE),"nodata")</f>
        <v>nodata</v>
      </c>
      <c r="I76" t="str">
        <f>IFERROR(VLOOKUP($A76,[1]data!$A$2:$G$51,5,FALSE),"nodata")</f>
        <v>nodata</v>
      </c>
      <c r="J76" t="str">
        <f>IFERROR(VLOOKUP($A76,[1]data!$A$2:$G$51,6,FALSE),"nodata")</f>
        <v>nodata</v>
      </c>
      <c r="K76" t="str">
        <f>IFERROR(VLOOKUP($A76,[1]data!$A$2:$G$51,7,FALSE),"nodata")</f>
        <v>nodata</v>
      </c>
      <c r="L76">
        <v>6082357</v>
      </c>
      <c r="M76" t="str">
        <f>IFERROR(J76/L76,"nodata")</f>
        <v>nodata</v>
      </c>
    </row>
    <row r="77" spans="1:13" x14ac:dyDescent="0.2">
      <c r="A77" t="s">
        <v>166</v>
      </c>
      <c r="B77">
        <v>125</v>
      </c>
      <c r="C77">
        <v>57</v>
      </c>
      <c r="D77">
        <v>100</v>
      </c>
      <c r="E77" t="s">
        <v>6</v>
      </c>
      <c r="F77" t="str">
        <f>IFERROR(VLOOKUP($A77,[1]data!$A$2:$G$51,2,FALSE),"nodata")</f>
        <v>nodata</v>
      </c>
      <c r="G77" t="str">
        <f>IFERROR(VLOOKUP($A77,[1]data!$A$2:$G$51,3,FALSE),"nodata")</f>
        <v>nodata</v>
      </c>
      <c r="H77" t="str">
        <f>IFERROR(VLOOKUP($A77,[1]data!$A$2:$G$51,4,FALSE),"nodata")</f>
        <v>nodata</v>
      </c>
      <c r="I77" t="str">
        <f>IFERROR(VLOOKUP($A77,[1]data!$A$2:$G$51,5,FALSE),"nodata")</f>
        <v>nodata</v>
      </c>
      <c r="J77" t="str">
        <f>IFERROR(VLOOKUP($A77,[1]data!$A$2:$G$51,6,FALSE),"nodata")</f>
        <v>nodata</v>
      </c>
      <c r="K77" t="str">
        <f>IFERROR(VLOOKUP($A77,[1]data!$A$2:$G$51,7,FALSE),"nodata")</f>
        <v>nodata</v>
      </c>
      <c r="L77">
        <v>109897</v>
      </c>
      <c r="M77" t="str">
        <f>IFERROR(J77/L77,"nodata")</f>
        <v>nodata</v>
      </c>
    </row>
    <row r="78" spans="1:13" x14ac:dyDescent="0.2">
      <c r="A78" t="s">
        <v>75</v>
      </c>
      <c r="B78">
        <v>124</v>
      </c>
      <c r="C78">
        <v>405</v>
      </c>
      <c r="D78">
        <v>84</v>
      </c>
      <c r="E78" t="s">
        <v>6</v>
      </c>
      <c r="F78" t="str">
        <f>IFERROR(VLOOKUP($A78,[1]data!$A$2:$G$51,2,FALSE),"nodata")</f>
        <v>nodata</v>
      </c>
      <c r="G78" t="str">
        <f>IFERROR(VLOOKUP($A78,[1]data!$A$2:$G$51,3,FALSE),"nodata")</f>
        <v>nodata</v>
      </c>
      <c r="H78" t="str">
        <f>IFERROR(VLOOKUP($A78,[1]data!$A$2:$G$51,4,FALSE),"nodata")</f>
        <v>nodata</v>
      </c>
      <c r="I78" t="str">
        <f>IFERROR(VLOOKUP($A78,[1]data!$A$2:$G$51,5,FALSE),"nodata")</f>
        <v>nodata</v>
      </c>
      <c r="J78" t="str">
        <f>IFERROR(VLOOKUP($A78,[1]data!$A$2:$G$51,6,FALSE),"nodata")</f>
        <v>nodata</v>
      </c>
      <c r="K78" t="str">
        <f>IFERROR(VLOOKUP($A78,[1]data!$A$2:$G$51,7,FALSE),"nodata")</f>
        <v>nodata</v>
      </c>
      <c r="L78">
        <v>777859</v>
      </c>
      <c r="M78" t="str">
        <f>IFERROR(J78/L78,"nodata")</f>
        <v>nodata</v>
      </c>
    </row>
    <row r="79" spans="1:13" x14ac:dyDescent="0.2">
      <c r="A79" t="s">
        <v>29</v>
      </c>
      <c r="B79">
        <v>123</v>
      </c>
      <c r="C79">
        <v>58</v>
      </c>
      <c r="D79">
        <v>100</v>
      </c>
      <c r="E79" t="s">
        <v>6</v>
      </c>
      <c r="F79" t="str">
        <f>IFERROR(VLOOKUP($A79,[1]data!$A$2:$G$51,2,FALSE),"nodata")</f>
        <v>nodata</v>
      </c>
      <c r="G79" t="str">
        <f>IFERROR(VLOOKUP($A79,[1]data!$A$2:$G$51,3,FALSE),"nodata")</f>
        <v>nodata</v>
      </c>
      <c r="H79" t="str">
        <f>IFERROR(VLOOKUP($A79,[1]data!$A$2:$G$51,4,FALSE),"nodata")</f>
        <v>nodata</v>
      </c>
      <c r="I79" t="str">
        <f>IFERROR(VLOOKUP($A79,[1]data!$A$2:$G$51,5,FALSE),"nodata")</f>
        <v>nodata</v>
      </c>
      <c r="J79" t="str">
        <f>IFERROR(VLOOKUP($A79,[1]data!$A$2:$G$51,6,FALSE),"nodata")</f>
        <v>nodata</v>
      </c>
      <c r="K79" t="str">
        <f>IFERROR(VLOOKUP($A79,[1]data!$A$2:$G$51,7,FALSE),"nodata")</f>
        <v>nodata</v>
      </c>
      <c r="L79">
        <v>209288278</v>
      </c>
      <c r="M79" t="str">
        <f>IFERROR(J79/L79,"nodata")</f>
        <v>nodata</v>
      </c>
    </row>
    <row r="80" spans="1:13" x14ac:dyDescent="0.2">
      <c r="A80" t="s">
        <v>56</v>
      </c>
      <c r="B80">
        <v>122</v>
      </c>
      <c r="C80">
        <v>245</v>
      </c>
      <c r="D80">
        <v>100</v>
      </c>
      <c r="E80" t="s">
        <v>6</v>
      </c>
      <c r="F80">
        <f>IFERROR(VLOOKUP($A80,[1]data!$A$2:$G$51,2,FALSE),"nodata")</f>
        <v>982446</v>
      </c>
      <c r="G80">
        <f>IFERROR(VLOOKUP($A80,[1]data!$A$2:$G$51,3,FALSE),"nodata")</f>
        <v>26605</v>
      </c>
      <c r="H80">
        <f>IFERROR(VLOOKUP($A80,[1]data!$A$2:$G$51,4,FALSE),"nodata")</f>
        <v>32218</v>
      </c>
      <c r="I80">
        <f>IFERROR(VLOOKUP($A80,[1]data!$A$2:$G$51,5,FALSE),"nodata")</f>
        <v>36601</v>
      </c>
      <c r="J80">
        <f>IFERROR(VLOOKUP($A80,[1]data!$A$2:$G$51,6,FALSE),"nodata")</f>
        <v>95424</v>
      </c>
      <c r="K80">
        <f>IFERROR(VLOOKUP($A80,[1]data!$A$2:$G$51,7,FALSE),"nodata")</f>
        <v>9.7129002510061624E-2</v>
      </c>
      <c r="L80">
        <v>97553151</v>
      </c>
      <c r="M80">
        <f>IFERROR(J80/L80,"nodata")</f>
        <v>9.7817445179192619E-4</v>
      </c>
    </row>
    <row r="81" spans="1:13" x14ac:dyDescent="0.2">
      <c r="A81" t="s">
        <v>17</v>
      </c>
      <c r="B81">
        <v>121</v>
      </c>
      <c r="C81">
        <v>120</v>
      </c>
      <c r="D81">
        <v>100</v>
      </c>
      <c r="E81" t="s">
        <v>6</v>
      </c>
      <c r="F81" t="str">
        <f>IFERROR(VLOOKUP($A81,[1]data!$A$2:$G$51,2,FALSE),"nodata")</f>
        <v>nodata</v>
      </c>
      <c r="G81" t="str">
        <f>IFERROR(VLOOKUP($A81,[1]data!$A$2:$G$51,3,FALSE),"nodata")</f>
        <v>nodata</v>
      </c>
      <c r="H81" t="str">
        <f>IFERROR(VLOOKUP($A81,[1]data!$A$2:$G$51,4,FALSE),"nodata")</f>
        <v>nodata</v>
      </c>
      <c r="I81" t="str">
        <f>IFERROR(VLOOKUP($A81,[1]data!$A$2:$G$51,5,FALSE),"nodata")</f>
        <v>nodata</v>
      </c>
      <c r="J81" t="str">
        <f>IFERROR(VLOOKUP($A81,[1]data!$A$2:$G$51,6,FALSE),"nodata")</f>
        <v>nodata</v>
      </c>
      <c r="K81" t="str">
        <f>IFERROR(VLOOKUP($A81,[1]data!$A$2:$G$51,7,FALSE),"nodata")</f>
        <v>nodata</v>
      </c>
      <c r="L81">
        <v>395361</v>
      </c>
      <c r="M81" t="str">
        <f>IFERROR(J81/L81,"nodata")</f>
        <v>nodata</v>
      </c>
    </row>
    <row r="82" spans="1:13" x14ac:dyDescent="0.2">
      <c r="A82" t="s">
        <v>83</v>
      </c>
      <c r="B82">
        <v>120</v>
      </c>
      <c r="C82">
        <v>829</v>
      </c>
      <c r="D82">
        <v>100</v>
      </c>
      <c r="E82" t="s">
        <v>6</v>
      </c>
      <c r="F82" t="str">
        <f>IFERROR(VLOOKUP($A82,[1]data!$A$2:$G$51,2,FALSE),"nodata")</f>
        <v>nodata</v>
      </c>
      <c r="G82" t="str">
        <f>IFERROR(VLOOKUP($A82,[1]data!$A$2:$G$51,3,FALSE),"nodata")</f>
        <v>nodata</v>
      </c>
      <c r="H82" t="str">
        <f>IFERROR(VLOOKUP($A82,[1]data!$A$2:$G$51,4,FALSE),"nodata")</f>
        <v>nodata</v>
      </c>
      <c r="I82" t="str">
        <f>IFERROR(VLOOKUP($A82,[1]data!$A$2:$G$51,5,FALSE),"nodata")</f>
        <v>nodata</v>
      </c>
      <c r="J82" t="str">
        <f>IFERROR(VLOOKUP($A82,[1]data!$A$2:$G$51,6,FALSE),"nodata")</f>
        <v>nodata</v>
      </c>
      <c r="K82" t="str">
        <f>IFERROR(VLOOKUP($A82,[1]data!$A$2:$G$51,7,FALSE),"nodata")</f>
        <v>nodata</v>
      </c>
      <c r="L82">
        <v>81162788</v>
      </c>
      <c r="M82" t="str">
        <f>IFERROR(J82/L82,"nodata")</f>
        <v>nodata</v>
      </c>
    </row>
    <row r="83" spans="1:13" x14ac:dyDescent="0.2">
      <c r="A83" t="s">
        <v>136</v>
      </c>
      <c r="B83">
        <v>119</v>
      </c>
      <c r="C83">
        <v>38</v>
      </c>
      <c r="D83">
        <v>23</v>
      </c>
      <c r="E83" t="s">
        <v>6</v>
      </c>
      <c r="F83" t="str">
        <f>IFERROR(VLOOKUP($A83,[1]data!$A$2:$G$51,2,FALSE),"nodata")</f>
        <v>nodata</v>
      </c>
      <c r="G83" t="str">
        <f>IFERROR(VLOOKUP($A83,[1]data!$A$2:$G$51,3,FALSE),"nodata")</f>
        <v>nodata</v>
      </c>
      <c r="H83" t="str">
        <f>IFERROR(VLOOKUP($A83,[1]data!$A$2:$G$51,4,FALSE),"nodata")</f>
        <v>nodata</v>
      </c>
      <c r="I83" t="str">
        <f>IFERROR(VLOOKUP($A83,[1]data!$A$2:$G$51,5,FALSE),"nodata")</f>
        <v>nodata</v>
      </c>
      <c r="J83" t="str">
        <f>IFERROR(VLOOKUP($A83,[1]data!$A$2:$G$51,6,FALSE),"nodata")</f>
        <v>nodata</v>
      </c>
      <c r="K83" t="str">
        <f>IFERROR(VLOOKUP($A83,[1]data!$A$2:$G$51,7,FALSE),"nodata")</f>
        <v>nodata</v>
      </c>
      <c r="L83">
        <v>8251162</v>
      </c>
      <c r="M83" t="str">
        <f>IFERROR(J83/L83,"nodata")</f>
        <v>nodata</v>
      </c>
    </row>
    <row r="84" spans="1:13" x14ac:dyDescent="0.2">
      <c r="A84" t="s">
        <v>90</v>
      </c>
      <c r="B84">
        <v>118</v>
      </c>
      <c r="C84">
        <v>325</v>
      </c>
      <c r="D84">
        <v>100</v>
      </c>
      <c r="E84" t="s">
        <v>6</v>
      </c>
      <c r="F84" t="str">
        <f>IFERROR(VLOOKUP($A84,[1]data!$A$2:$G$51,2,FALSE),"nodata")</f>
        <v>nodata</v>
      </c>
      <c r="G84" t="str">
        <f>IFERROR(VLOOKUP($A84,[1]data!$A$2:$G$51,3,FALSE),"nodata")</f>
        <v>nodata</v>
      </c>
      <c r="H84" t="str">
        <f>IFERROR(VLOOKUP($A84,[1]data!$A$2:$G$51,4,FALSE),"nodata")</f>
        <v>nodata</v>
      </c>
      <c r="I84" t="str">
        <f>IFERROR(VLOOKUP($A84,[1]data!$A$2:$G$51,5,FALSE),"nodata")</f>
        <v>nodata</v>
      </c>
      <c r="J84" t="str">
        <f>IFERROR(VLOOKUP($A84,[1]data!$A$2:$G$51,6,FALSE),"nodata")</f>
        <v>nodata</v>
      </c>
      <c r="K84" t="str">
        <f>IFERROR(VLOOKUP($A84,[1]data!$A$2:$G$51,7,FALSE),"nodata")</f>
        <v>nodata</v>
      </c>
      <c r="L84">
        <v>9702353</v>
      </c>
      <c r="M84" t="str">
        <f>IFERROR(J84/L84,"nodata")</f>
        <v>nodata</v>
      </c>
    </row>
    <row r="85" spans="1:13" x14ac:dyDescent="0.2">
      <c r="A85" t="s">
        <v>20</v>
      </c>
      <c r="B85">
        <v>117</v>
      </c>
      <c r="C85">
        <v>65</v>
      </c>
      <c r="D85">
        <v>100</v>
      </c>
      <c r="E85" t="s">
        <v>6</v>
      </c>
      <c r="F85" t="str">
        <f>IFERROR(VLOOKUP($A85,[1]data!$A$2:$G$51,2,FALSE),"nodata")</f>
        <v>nodata</v>
      </c>
      <c r="G85" t="str">
        <f>IFERROR(VLOOKUP($A85,[1]data!$A$2:$G$51,3,FALSE),"nodata")</f>
        <v>nodata</v>
      </c>
      <c r="H85" t="str">
        <f>IFERROR(VLOOKUP($A85,[1]data!$A$2:$G$51,4,FALSE),"nodata")</f>
        <v>nodata</v>
      </c>
      <c r="I85" t="str">
        <f>IFERROR(VLOOKUP($A85,[1]data!$A$2:$G$51,5,FALSE),"nodata")</f>
        <v>nodata</v>
      </c>
      <c r="J85" t="str">
        <f>IFERROR(VLOOKUP($A85,[1]data!$A$2:$G$51,6,FALSE),"nodata")</f>
        <v>nodata</v>
      </c>
      <c r="K85" t="str">
        <f>IFERROR(VLOOKUP($A85,[1]data!$A$2:$G$51,7,FALSE),"nodata")</f>
        <v>nodata</v>
      </c>
      <c r="L85">
        <v>285719</v>
      </c>
      <c r="M85" t="str">
        <f>IFERROR(J85/L85,"nodata")</f>
        <v>nodata</v>
      </c>
    </row>
    <row r="86" spans="1:13" x14ac:dyDescent="0.2">
      <c r="A86" t="s">
        <v>12</v>
      </c>
      <c r="B86">
        <v>116</v>
      </c>
      <c r="C86">
        <v>32</v>
      </c>
      <c r="D86">
        <v>100</v>
      </c>
      <c r="E86" t="s">
        <v>6</v>
      </c>
      <c r="F86" t="str">
        <f>IFERROR(VLOOKUP($A86,[1]data!$A$2:$G$51,2,FALSE),"nodata")</f>
        <v>nodata</v>
      </c>
      <c r="G86" t="str">
        <f>IFERROR(VLOOKUP($A86,[1]data!$A$2:$G$51,3,FALSE),"nodata")</f>
        <v>nodata</v>
      </c>
      <c r="H86" t="str">
        <f>IFERROR(VLOOKUP($A86,[1]data!$A$2:$G$51,4,FALSE),"nodata")</f>
        <v>nodata</v>
      </c>
      <c r="I86" t="str">
        <f>IFERROR(VLOOKUP($A86,[1]data!$A$2:$G$51,5,FALSE),"nodata")</f>
        <v>nodata</v>
      </c>
      <c r="J86" t="str">
        <f>IFERROR(VLOOKUP($A86,[1]data!$A$2:$G$51,6,FALSE),"nodata")</f>
        <v>nodata</v>
      </c>
      <c r="K86" t="str">
        <f>IFERROR(VLOOKUP($A86,[1]data!$A$2:$G$51,7,FALSE),"nodata")</f>
        <v>nodata</v>
      </c>
      <c r="L86">
        <v>44271041</v>
      </c>
      <c r="M86" t="str">
        <f>IFERROR(J86/L86,"nodata")</f>
        <v>nodata</v>
      </c>
    </row>
    <row r="87" spans="1:13" x14ac:dyDescent="0.2">
      <c r="A87" t="s">
        <v>181</v>
      </c>
      <c r="B87">
        <v>115</v>
      </c>
      <c r="C87">
        <v>8449</v>
      </c>
      <c r="D87">
        <v>27</v>
      </c>
      <c r="E87" t="s">
        <v>10</v>
      </c>
      <c r="F87">
        <f>IFERROR(VLOOKUP($A87,[1]data!$A$2:$G$51,2,FALSE),"nodata")</f>
        <v>241278</v>
      </c>
      <c r="G87">
        <f>IFERROR(VLOOKUP($A87,[1]data!$A$2:$G$51,3,FALSE),"nodata")</f>
        <v>8582</v>
      </c>
      <c r="H87">
        <f>IFERROR(VLOOKUP($A87,[1]data!$A$2:$G$51,4,FALSE),"nodata")</f>
        <v>9470</v>
      </c>
      <c r="I87">
        <f>IFERROR(VLOOKUP($A87,[1]data!$A$2:$G$51,5,FALSE),"nodata")</f>
        <v>815</v>
      </c>
      <c r="J87">
        <f>IFERROR(VLOOKUP($A87,[1]data!$A$2:$G$51,6,FALSE),"nodata")</f>
        <v>18867</v>
      </c>
      <c r="K87">
        <f>IFERROR(VLOOKUP($A87,[1]data!$A$2:$G$51,7,FALSE),"nodata")</f>
        <v>7.8196105736950738E-2</v>
      </c>
      <c r="L87">
        <v>42862958</v>
      </c>
      <c r="M87">
        <f>IFERROR(J87/L87,"nodata")</f>
        <v>4.4017027476265169E-4</v>
      </c>
    </row>
    <row r="88" spans="1:13" x14ac:dyDescent="0.2">
      <c r="A88" t="s">
        <v>55</v>
      </c>
      <c r="B88">
        <v>114</v>
      </c>
      <c r="C88">
        <v>606</v>
      </c>
      <c r="D88">
        <v>100</v>
      </c>
      <c r="E88" t="s">
        <v>6</v>
      </c>
      <c r="F88" t="str">
        <f>IFERROR(VLOOKUP($A88,[1]data!$A$2:$G$51,2,FALSE),"nodata")</f>
        <v>nodata</v>
      </c>
      <c r="G88" t="str">
        <f>IFERROR(VLOOKUP($A88,[1]data!$A$2:$G$51,3,FALSE),"nodata")</f>
        <v>nodata</v>
      </c>
      <c r="H88" t="str">
        <f>IFERROR(VLOOKUP($A88,[1]data!$A$2:$G$51,4,FALSE),"nodata")</f>
        <v>nodata</v>
      </c>
      <c r="I88" t="str">
        <f>IFERROR(VLOOKUP($A88,[1]data!$A$2:$G$51,5,FALSE),"nodata")</f>
        <v>nodata</v>
      </c>
      <c r="J88" t="str">
        <f>IFERROR(VLOOKUP($A88,[1]data!$A$2:$G$51,6,FALSE),"nodata")</f>
        <v>nodata</v>
      </c>
      <c r="K88" t="str">
        <f>IFERROR(VLOOKUP($A88,[1]data!$A$2:$G$51,7,FALSE),"nodata")</f>
        <v>nodata</v>
      </c>
      <c r="L88">
        <v>16624858</v>
      </c>
      <c r="M88" t="str">
        <f>IFERROR(J88/L88,"nodata")</f>
        <v>nodata</v>
      </c>
    </row>
    <row r="89" spans="1:13" x14ac:dyDescent="0.2">
      <c r="A89" t="s">
        <v>11</v>
      </c>
      <c r="B89">
        <v>113</v>
      </c>
      <c r="C89">
        <v>118</v>
      </c>
      <c r="D89">
        <v>97</v>
      </c>
      <c r="E89" t="s">
        <v>6</v>
      </c>
      <c r="F89" t="str">
        <f>IFERROR(VLOOKUP($A89,[1]data!$A$2:$G$51,2,FALSE),"nodata")</f>
        <v>nodata</v>
      </c>
      <c r="G89" t="str">
        <f>IFERROR(VLOOKUP($A89,[1]data!$A$2:$G$51,3,FALSE),"nodata")</f>
        <v>nodata</v>
      </c>
      <c r="H89" t="str">
        <f>IFERROR(VLOOKUP($A89,[1]data!$A$2:$G$51,4,FALSE),"nodata")</f>
        <v>nodata</v>
      </c>
      <c r="I89" t="str">
        <f>IFERROR(VLOOKUP($A89,[1]data!$A$2:$G$51,5,FALSE),"nodata")</f>
        <v>nodata</v>
      </c>
      <c r="J89" t="str">
        <f>IFERROR(VLOOKUP($A89,[1]data!$A$2:$G$51,6,FALSE),"nodata")</f>
        <v>nodata</v>
      </c>
      <c r="K89" t="str">
        <f>IFERROR(VLOOKUP($A89,[1]data!$A$2:$G$51,7,FALSE),"nodata")</f>
        <v>nodata</v>
      </c>
      <c r="L89">
        <v>102012</v>
      </c>
      <c r="M89" t="str">
        <f>IFERROR(J89/L89,"nodata")</f>
        <v>nodata</v>
      </c>
    </row>
    <row r="90" spans="1:13" x14ac:dyDescent="0.2">
      <c r="A90" t="s">
        <v>23</v>
      </c>
      <c r="B90">
        <v>112</v>
      </c>
      <c r="C90">
        <v>320</v>
      </c>
      <c r="D90">
        <v>92</v>
      </c>
      <c r="E90" t="s">
        <v>6</v>
      </c>
      <c r="F90" t="str">
        <f>IFERROR(VLOOKUP($A90,[1]data!$A$2:$G$51,2,FALSE),"nodata")</f>
        <v>nodata</v>
      </c>
      <c r="G90" t="str">
        <f>IFERROR(VLOOKUP($A90,[1]data!$A$2:$G$51,3,FALSE),"nodata")</f>
        <v>nodata</v>
      </c>
      <c r="H90" t="str">
        <f>IFERROR(VLOOKUP($A90,[1]data!$A$2:$G$51,4,FALSE),"nodata")</f>
        <v>nodata</v>
      </c>
      <c r="I90" t="str">
        <f>IFERROR(VLOOKUP($A90,[1]data!$A$2:$G$51,5,FALSE),"nodata")</f>
        <v>nodata</v>
      </c>
      <c r="J90" t="str">
        <f>IFERROR(VLOOKUP($A90,[1]data!$A$2:$G$51,6,FALSE),"nodata")</f>
        <v>nodata</v>
      </c>
      <c r="K90" t="str">
        <f>IFERROR(VLOOKUP($A90,[1]data!$A$2:$G$51,7,FALSE),"nodata")</f>
        <v>nodata</v>
      </c>
      <c r="L90">
        <v>374681</v>
      </c>
      <c r="M90" t="str">
        <f>IFERROR(J90/L90,"nodata")</f>
        <v>nodata</v>
      </c>
    </row>
    <row r="91" spans="1:13" x14ac:dyDescent="0.2">
      <c r="A91" t="s">
        <v>203</v>
      </c>
      <c r="B91">
        <v>111</v>
      </c>
      <c r="C91">
        <v>740</v>
      </c>
      <c r="D91">
        <v>66</v>
      </c>
      <c r="E91" t="s">
        <v>10</v>
      </c>
      <c r="F91">
        <f>IFERROR(VLOOKUP($A91,[1]data!$A$2:$G$51,2,FALSE),"nodata")</f>
        <v>17289</v>
      </c>
      <c r="G91">
        <f>IFERROR(VLOOKUP($A91,[1]data!$A$2:$G$51,3,FALSE),"nodata")</f>
        <v>559</v>
      </c>
      <c r="H91">
        <f>IFERROR(VLOOKUP($A91,[1]data!$A$2:$G$51,4,FALSE),"nodata")</f>
        <v>572</v>
      </c>
      <c r="I91">
        <f>IFERROR(VLOOKUP($A91,[1]data!$A$2:$G$51,5,FALSE),"nodata")</f>
        <v>476</v>
      </c>
      <c r="J91">
        <f>IFERROR(VLOOKUP($A91,[1]data!$A$2:$G$51,6,FALSE),"nodata")</f>
        <v>1607</v>
      </c>
      <c r="K91">
        <f>IFERROR(VLOOKUP($A91,[1]data!$A$2:$G$51,7,FALSE),"nodata")</f>
        <v>9.2949274104922208E-2</v>
      </c>
      <c r="L91">
        <v>1367254</v>
      </c>
      <c r="M91">
        <f>IFERROR(J91/L91,"nodata")</f>
        <v>1.1753485453324694E-3</v>
      </c>
    </row>
    <row r="92" spans="1:13" x14ac:dyDescent="0.2">
      <c r="A92" t="s">
        <v>163</v>
      </c>
      <c r="B92">
        <v>110</v>
      </c>
      <c r="C92">
        <v>769</v>
      </c>
      <c r="D92">
        <v>96</v>
      </c>
      <c r="E92" t="s">
        <v>6</v>
      </c>
      <c r="F92" t="str">
        <f>IFERROR(VLOOKUP($A92,[1]data!$A$2:$G$51,2,FALSE),"nodata")</f>
        <v>nodata</v>
      </c>
      <c r="G92" t="str">
        <f>IFERROR(VLOOKUP($A92,[1]data!$A$2:$G$51,3,FALSE),"nodata")</f>
        <v>nodata</v>
      </c>
      <c r="H92" t="str">
        <f>IFERROR(VLOOKUP($A92,[1]data!$A$2:$G$51,4,FALSE),"nodata")</f>
        <v>nodata</v>
      </c>
      <c r="I92" t="str">
        <f>IFERROR(VLOOKUP($A92,[1]data!$A$2:$G$51,5,FALSE),"nodata")</f>
        <v>nodata</v>
      </c>
      <c r="J92" t="str">
        <f>IFERROR(VLOOKUP($A92,[1]data!$A$2:$G$51,6,FALSE),"nodata")</f>
        <v>nodata</v>
      </c>
      <c r="K92" t="str">
        <f>IFERROR(VLOOKUP($A92,[1]data!$A$2:$G$51,7,FALSE),"nodata")</f>
        <v>nodata</v>
      </c>
      <c r="L92">
        <v>21444000</v>
      </c>
      <c r="M92" t="str">
        <f>IFERROR(J92/L92,"nodata")</f>
        <v>nodata</v>
      </c>
    </row>
    <row r="93" spans="1:13" x14ac:dyDescent="0.2">
      <c r="A93" t="s">
        <v>69</v>
      </c>
      <c r="B93">
        <v>109</v>
      </c>
      <c r="C93">
        <v>1266</v>
      </c>
      <c r="D93">
        <v>79</v>
      </c>
      <c r="E93" t="s">
        <v>10</v>
      </c>
      <c r="F93">
        <f>IFERROR(VLOOKUP($A93,[1]data!$A$2:$G$51,2,FALSE),"nodata")</f>
        <v>238761</v>
      </c>
      <c r="G93">
        <f>IFERROR(VLOOKUP($A93,[1]data!$A$2:$G$51,3,FALSE),"nodata")</f>
        <v>229</v>
      </c>
      <c r="H93">
        <f>IFERROR(VLOOKUP($A93,[1]data!$A$2:$G$51,4,FALSE),"nodata")</f>
        <v>7644</v>
      </c>
      <c r="I93">
        <f>IFERROR(VLOOKUP($A93,[1]data!$A$2:$G$51,5,FALSE),"nodata")</f>
        <v>606</v>
      </c>
      <c r="J93">
        <f>IFERROR(VLOOKUP($A93,[1]data!$A$2:$G$51,6,FALSE),"nodata")</f>
        <v>8479</v>
      </c>
      <c r="K93">
        <f>IFERROR(VLOOKUP($A93,[1]data!$A$2:$G$51,7,FALSE),"nodata")</f>
        <v>3.5512499947646388E-2</v>
      </c>
      <c r="L93">
        <v>28833629</v>
      </c>
      <c r="M93">
        <f>IFERROR(J93/L93,"nodata")</f>
        <v>2.9406634870692136E-4</v>
      </c>
    </row>
    <row r="94" spans="1:13" x14ac:dyDescent="0.2">
      <c r="A94" t="s">
        <v>124</v>
      </c>
      <c r="B94">
        <v>108</v>
      </c>
      <c r="C94">
        <v>349</v>
      </c>
      <c r="D94">
        <v>52</v>
      </c>
      <c r="E94" t="s">
        <v>10</v>
      </c>
      <c r="F94">
        <f>IFERROR(VLOOKUP($A94,[1]data!$A$2:$G$51,2,FALSE),"nodata")</f>
        <v>824205</v>
      </c>
      <c r="G94">
        <f>IFERROR(VLOOKUP($A94,[1]data!$A$2:$G$51,3,FALSE),"nodata")</f>
        <v>29716</v>
      </c>
      <c r="H94">
        <f>IFERROR(VLOOKUP($A94,[1]data!$A$2:$G$51,4,FALSE),"nodata")</f>
        <v>26183</v>
      </c>
      <c r="I94">
        <f>IFERROR(VLOOKUP($A94,[1]data!$A$2:$G$51,5,FALSE),"nodata")</f>
        <v>15196</v>
      </c>
      <c r="J94">
        <f>IFERROR(VLOOKUP($A94,[1]data!$A$2:$G$51,6,FALSE),"nodata")</f>
        <v>71095</v>
      </c>
      <c r="K94">
        <f>IFERROR(VLOOKUP($A94,[1]data!$A$2:$G$51,7,FALSE),"nodata")</f>
        <v>8.6258879768989508E-2</v>
      </c>
      <c r="L94">
        <v>2533794</v>
      </c>
      <c r="M94">
        <f>IFERROR(J94/L94,"nodata")</f>
        <v>2.8058713533933698E-2</v>
      </c>
    </row>
    <row r="95" spans="1:13" x14ac:dyDescent="0.2">
      <c r="A95" t="s">
        <v>125</v>
      </c>
      <c r="B95">
        <v>107</v>
      </c>
      <c r="C95">
        <v>1042</v>
      </c>
      <c r="D95">
        <v>91</v>
      </c>
      <c r="E95" t="s">
        <v>6</v>
      </c>
      <c r="F95" t="str">
        <f>IFERROR(VLOOKUP($A95,[1]data!$A$2:$G$51,2,FALSE),"nodata")</f>
        <v>nodata</v>
      </c>
      <c r="G95" t="str">
        <f>IFERROR(VLOOKUP($A95,[1]data!$A$2:$G$51,3,FALSE),"nodata")</f>
        <v>nodata</v>
      </c>
      <c r="H95" t="str">
        <f>IFERROR(VLOOKUP($A95,[1]data!$A$2:$G$51,4,FALSE),"nodata")</f>
        <v>nodata</v>
      </c>
      <c r="I95" t="str">
        <f>IFERROR(VLOOKUP($A95,[1]data!$A$2:$G$51,5,FALSE),"nodata")</f>
        <v>nodata</v>
      </c>
      <c r="J95" t="str">
        <f>IFERROR(VLOOKUP($A95,[1]data!$A$2:$G$51,6,FALSE),"nodata")</f>
        <v>nodata</v>
      </c>
      <c r="K95" t="str">
        <f>IFERROR(VLOOKUP($A95,[1]data!$A$2:$G$51,7,FALSE),"nodata")</f>
        <v>nodata</v>
      </c>
      <c r="L95">
        <v>29304998</v>
      </c>
      <c r="M95" t="str">
        <f>IFERROR(J95/L95,"nodata")</f>
        <v>nodata</v>
      </c>
    </row>
    <row r="96" spans="1:13" x14ac:dyDescent="0.2">
      <c r="A96" t="s">
        <v>137</v>
      </c>
      <c r="B96">
        <v>106</v>
      </c>
      <c r="C96">
        <v>152</v>
      </c>
      <c r="D96">
        <v>98</v>
      </c>
      <c r="E96" t="s">
        <v>6</v>
      </c>
      <c r="F96" t="str">
        <f>IFERROR(VLOOKUP($A96,[1]data!$A$2:$G$51,2,FALSE),"nodata")</f>
        <v>nodata</v>
      </c>
      <c r="G96" t="str">
        <f>IFERROR(VLOOKUP($A96,[1]data!$A$2:$G$51,3,FALSE),"nodata")</f>
        <v>nodata</v>
      </c>
      <c r="H96" t="str">
        <f>IFERROR(VLOOKUP($A96,[1]data!$A$2:$G$51,4,FALSE),"nodata")</f>
        <v>nodata</v>
      </c>
      <c r="I96" t="str">
        <f>IFERROR(VLOOKUP($A96,[1]data!$A$2:$G$51,5,FALSE),"nodata")</f>
        <v>nodata</v>
      </c>
      <c r="J96" t="str">
        <f>IFERROR(VLOOKUP($A96,[1]data!$A$2:$G$51,6,FALSE),"nodata")</f>
        <v>nodata</v>
      </c>
      <c r="K96" t="str">
        <f>IFERROR(VLOOKUP($A96,[1]data!$A$2:$G$51,7,FALSE),"nodata")</f>
        <v>nodata</v>
      </c>
      <c r="L96">
        <v>6811297</v>
      </c>
      <c r="M96" t="str">
        <f>IFERROR(J96/L96,"nodata")</f>
        <v>nodata</v>
      </c>
    </row>
    <row r="97" spans="1:13" x14ac:dyDescent="0.2">
      <c r="A97" t="s">
        <v>77</v>
      </c>
      <c r="B97">
        <v>105</v>
      </c>
      <c r="C97">
        <v>775</v>
      </c>
      <c r="D97">
        <v>88</v>
      </c>
      <c r="E97" t="s">
        <v>6</v>
      </c>
      <c r="F97" t="str">
        <f>IFERROR(VLOOKUP($A97,[1]data!$A$2:$G$51,2,FALSE),"nodata")</f>
        <v>nodata</v>
      </c>
      <c r="G97" t="str">
        <f>IFERROR(VLOOKUP($A97,[1]data!$A$2:$G$51,3,FALSE),"nodata")</f>
        <v>nodata</v>
      </c>
      <c r="H97" t="str">
        <f>IFERROR(VLOOKUP($A97,[1]data!$A$2:$G$51,4,FALSE),"nodata")</f>
        <v>nodata</v>
      </c>
      <c r="I97" t="str">
        <f>IFERROR(VLOOKUP($A97,[1]data!$A$2:$G$51,5,FALSE),"nodata")</f>
        <v>nodata</v>
      </c>
      <c r="J97" t="str">
        <f>IFERROR(VLOOKUP($A97,[1]data!$A$2:$G$51,6,FALSE),"nodata")</f>
        <v>nodata</v>
      </c>
      <c r="K97" t="str">
        <f>IFERROR(VLOOKUP($A97,[1]data!$A$2:$G$51,7,FALSE),"nodata")</f>
        <v>nodata</v>
      </c>
      <c r="L97">
        <v>9265067</v>
      </c>
      <c r="M97" t="str">
        <f>IFERROR(J97/L97,"nodata")</f>
        <v>nodata</v>
      </c>
    </row>
    <row r="98" spans="1:13" x14ac:dyDescent="0.2">
      <c r="A98" t="s">
        <v>158</v>
      </c>
      <c r="B98">
        <v>104</v>
      </c>
      <c r="C98">
        <v>1254</v>
      </c>
      <c r="D98">
        <v>48</v>
      </c>
      <c r="E98" t="s">
        <v>6</v>
      </c>
      <c r="F98" t="str">
        <f>IFERROR(VLOOKUP($A98,[1]data!$A$2:$G$51,2,FALSE),"nodata")</f>
        <v>nodata</v>
      </c>
      <c r="G98" t="str">
        <f>IFERROR(VLOOKUP($A98,[1]data!$A$2:$G$51,3,FALSE),"nodata")</f>
        <v>nodata</v>
      </c>
      <c r="H98" t="str">
        <f>IFERROR(VLOOKUP($A98,[1]data!$A$2:$G$51,4,FALSE),"nodata")</f>
        <v>nodata</v>
      </c>
      <c r="I98" t="str">
        <f>IFERROR(VLOOKUP($A98,[1]data!$A$2:$G$51,5,FALSE),"nodata")</f>
        <v>nodata</v>
      </c>
      <c r="J98" t="str">
        <f>IFERROR(VLOOKUP($A98,[1]data!$A$2:$G$51,6,FALSE),"nodata")</f>
        <v>nodata</v>
      </c>
      <c r="K98" t="str">
        <f>IFERROR(VLOOKUP($A98,[1]data!$A$2:$G$51,7,FALSE),"nodata")</f>
        <v>nodata</v>
      </c>
      <c r="L98">
        <v>611343</v>
      </c>
      <c r="M98" t="str">
        <f>IFERROR(J98/L98,"nodata")</f>
        <v>nodata</v>
      </c>
    </row>
    <row r="99" spans="1:13" x14ac:dyDescent="0.2">
      <c r="A99" t="s">
        <v>54</v>
      </c>
      <c r="B99">
        <v>103</v>
      </c>
      <c r="C99">
        <v>267</v>
      </c>
      <c r="D99">
        <v>100</v>
      </c>
      <c r="E99" t="s">
        <v>6</v>
      </c>
      <c r="F99" t="str">
        <f>IFERROR(VLOOKUP($A99,[1]data!$A$2:$G$51,2,FALSE),"nodata")</f>
        <v>nodata</v>
      </c>
      <c r="G99" t="str">
        <f>IFERROR(VLOOKUP($A99,[1]data!$A$2:$G$51,3,FALSE),"nodata")</f>
        <v>nodata</v>
      </c>
      <c r="H99" t="str">
        <f>IFERROR(VLOOKUP($A99,[1]data!$A$2:$G$51,4,FALSE),"nodata")</f>
        <v>nodata</v>
      </c>
      <c r="I99" t="str">
        <f>IFERROR(VLOOKUP($A99,[1]data!$A$2:$G$51,5,FALSE),"nodata")</f>
        <v>nodata</v>
      </c>
      <c r="J99" t="str">
        <f>IFERROR(VLOOKUP($A99,[1]data!$A$2:$G$51,6,FALSE),"nodata")</f>
        <v>nodata</v>
      </c>
      <c r="K99" t="str">
        <f>IFERROR(VLOOKUP($A99,[1]data!$A$2:$G$51,7,FALSE),"nodata")</f>
        <v>nodata</v>
      </c>
      <c r="L99">
        <v>10766998</v>
      </c>
      <c r="M99" t="str">
        <f>IFERROR(J99/L99,"nodata")</f>
        <v>nodata</v>
      </c>
    </row>
    <row r="100" spans="1:13" x14ac:dyDescent="0.2">
      <c r="A100" t="s">
        <v>96</v>
      </c>
      <c r="B100">
        <v>102</v>
      </c>
      <c r="C100">
        <v>77</v>
      </c>
      <c r="D100">
        <v>100</v>
      </c>
      <c r="E100" t="s">
        <v>6</v>
      </c>
      <c r="F100" t="str">
        <f>IFERROR(VLOOKUP($A100,[1]data!$A$2:$G$51,2,FALSE),"nodata")</f>
        <v>nodata</v>
      </c>
      <c r="G100" t="str">
        <f>IFERROR(VLOOKUP($A100,[1]data!$A$2:$G$51,3,FALSE),"nodata")</f>
        <v>nodata</v>
      </c>
      <c r="H100" t="str">
        <f>IFERROR(VLOOKUP($A100,[1]data!$A$2:$G$51,4,FALSE),"nodata")</f>
        <v>nodata</v>
      </c>
      <c r="I100" t="str">
        <f>IFERROR(VLOOKUP($A100,[1]data!$A$2:$G$51,5,FALSE),"nodata")</f>
        <v>nodata</v>
      </c>
      <c r="J100" t="str">
        <f>IFERROR(VLOOKUP($A100,[1]data!$A$2:$G$51,6,FALSE),"nodata")</f>
        <v>nodata</v>
      </c>
      <c r="K100" t="str">
        <f>IFERROR(VLOOKUP($A100,[1]data!$A$2:$G$51,7,FALSE),"nodata")</f>
        <v>nodata</v>
      </c>
      <c r="L100">
        <v>4136528</v>
      </c>
      <c r="M100" t="str">
        <f>IFERROR(J100/L100,"nodata")</f>
        <v>nodata</v>
      </c>
    </row>
    <row r="101" spans="1:13" x14ac:dyDescent="0.2">
      <c r="A101" t="s">
        <v>53</v>
      </c>
      <c r="B101">
        <v>101</v>
      </c>
      <c r="C101">
        <v>471</v>
      </c>
      <c r="D101">
        <v>100</v>
      </c>
      <c r="E101" t="s">
        <v>6</v>
      </c>
      <c r="F101" t="str">
        <f>IFERROR(VLOOKUP($A101,[1]data!$A$2:$G$51,2,FALSE),"nodata")</f>
        <v>nodata</v>
      </c>
      <c r="G101" t="str">
        <f>IFERROR(VLOOKUP($A101,[1]data!$A$2:$G$51,3,FALSE),"nodata")</f>
        <v>nodata</v>
      </c>
      <c r="H101" t="str">
        <f>IFERROR(VLOOKUP($A101,[1]data!$A$2:$G$51,4,FALSE),"nodata")</f>
        <v>nodata</v>
      </c>
      <c r="I101" t="str">
        <f>IFERROR(VLOOKUP($A101,[1]data!$A$2:$G$51,5,FALSE),"nodata")</f>
        <v>nodata</v>
      </c>
      <c r="J101" t="str">
        <f>IFERROR(VLOOKUP($A101,[1]data!$A$2:$G$51,6,FALSE),"nodata")</f>
        <v>nodata</v>
      </c>
      <c r="K101" t="str">
        <f>IFERROR(VLOOKUP($A101,[1]data!$A$2:$G$51,7,FALSE),"nodata")</f>
        <v>nodata</v>
      </c>
      <c r="L101">
        <v>73925</v>
      </c>
      <c r="M101" t="str">
        <f>IFERROR(J101/L101,"nodata")</f>
        <v>nodata</v>
      </c>
    </row>
    <row r="102" spans="1:13" x14ac:dyDescent="0.2">
      <c r="A102" t="s">
        <v>101</v>
      </c>
      <c r="B102">
        <v>100</v>
      </c>
      <c r="C102">
        <v>1422</v>
      </c>
      <c r="D102">
        <v>30</v>
      </c>
      <c r="E102" t="s">
        <v>10</v>
      </c>
      <c r="F102">
        <f>IFERROR(VLOOKUP($A102,[1]data!$A$2:$G$51,2,FALSE),"nodata")</f>
        <v>30454</v>
      </c>
      <c r="G102">
        <f>IFERROR(VLOOKUP($A102,[1]data!$A$2:$G$51,3,FALSE),"nodata")</f>
        <v>1122</v>
      </c>
      <c r="H102">
        <f>IFERROR(VLOOKUP($A102,[1]data!$A$2:$G$51,4,FALSE),"nodata")</f>
        <v>938</v>
      </c>
      <c r="I102">
        <f>IFERROR(VLOOKUP($A102,[1]data!$A$2:$G$51,5,FALSE),"nodata")</f>
        <v>599</v>
      </c>
      <c r="J102">
        <f>IFERROR(VLOOKUP($A102,[1]data!$A$2:$G$51,6,FALSE),"nodata")</f>
        <v>2659</v>
      </c>
      <c r="K102">
        <f>IFERROR(VLOOKUP($A102,[1]data!$A$2:$G$51,7,FALSE),"nodata")</f>
        <v>8.7312011558415975E-2</v>
      </c>
      <c r="L102">
        <v>2233339</v>
      </c>
      <c r="M102">
        <f>IFERROR(J102/L102,"nodata")</f>
        <v>1.190593994015239E-3</v>
      </c>
    </row>
    <row r="103" spans="1:13" x14ac:dyDescent="0.2">
      <c r="A103" t="s">
        <v>139</v>
      </c>
      <c r="B103">
        <v>99</v>
      </c>
      <c r="C103">
        <v>26</v>
      </c>
      <c r="D103">
        <v>91</v>
      </c>
      <c r="E103" t="s">
        <v>6</v>
      </c>
      <c r="F103" t="str">
        <f>IFERROR(VLOOKUP($A103,[1]data!$A$2:$G$51,2,FALSE),"nodata")</f>
        <v>nodata</v>
      </c>
      <c r="G103" t="str">
        <f>IFERROR(VLOOKUP($A103,[1]data!$A$2:$G$51,3,FALSE),"nodata")</f>
        <v>nodata</v>
      </c>
      <c r="H103" t="str">
        <f>IFERROR(VLOOKUP($A103,[1]data!$A$2:$G$51,4,FALSE),"nodata")</f>
        <v>nodata</v>
      </c>
      <c r="I103" t="str">
        <f>IFERROR(VLOOKUP($A103,[1]data!$A$2:$G$51,5,FALSE),"nodata")</f>
        <v>nodata</v>
      </c>
      <c r="J103" t="str">
        <f>IFERROR(VLOOKUP($A103,[1]data!$A$2:$G$51,6,FALSE),"nodata")</f>
        <v>nodata</v>
      </c>
      <c r="K103" t="str">
        <f>IFERROR(VLOOKUP($A103,[1]data!$A$2:$G$51,7,FALSE),"nodata")</f>
        <v>nodata</v>
      </c>
      <c r="L103">
        <v>104918090</v>
      </c>
      <c r="M103" t="str">
        <f>IFERROR(J103/L103,"nodata")</f>
        <v>nodata</v>
      </c>
    </row>
    <row r="104" spans="1:13" x14ac:dyDescent="0.2">
      <c r="A104" t="s">
        <v>193</v>
      </c>
      <c r="B104">
        <v>98</v>
      </c>
      <c r="C104">
        <v>610</v>
      </c>
      <c r="D104">
        <v>27</v>
      </c>
      <c r="E104" t="s">
        <v>10</v>
      </c>
      <c r="F104">
        <f>IFERROR(VLOOKUP($A104,[1]data!$A$2:$G$51,2,FALSE),"nodata")</f>
        <v>751315</v>
      </c>
      <c r="G104">
        <f>IFERROR(VLOOKUP($A104,[1]data!$A$2:$G$51,3,FALSE),"nodata")</f>
        <v>15691</v>
      </c>
      <c r="H104">
        <f>IFERROR(VLOOKUP($A104,[1]data!$A$2:$G$51,4,FALSE),"nodata")</f>
        <v>17894</v>
      </c>
      <c r="I104">
        <f>IFERROR(VLOOKUP($A104,[1]data!$A$2:$G$51,5,FALSE),"nodata")</f>
        <v>13229</v>
      </c>
      <c r="J104">
        <f>IFERROR(VLOOKUP($A104,[1]data!$A$2:$G$51,6,FALSE),"nodata")</f>
        <v>46814</v>
      </c>
      <c r="K104">
        <f>IFERROR(VLOOKUP($A104,[1]data!$A$2:$G$51,7,FALSE),"nodata")</f>
        <v>6.2309417488004365E-2</v>
      </c>
      <c r="L104">
        <v>17094130</v>
      </c>
      <c r="M104">
        <f>IFERROR(J104/L104,"nodata")</f>
        <v>2.7386009115409793E-3</v>
      </c>
    </row>
    <row r="105" spans="1:13" x14ac:dyDescent="0.2">
      <c r="A105" t="s">
        <v>62</v>
      </c>
      <c r="B105">
        <v>97</v>
      </c>
      <c r="C105">
        <v>1478</v>
      </c>
      <c r="D105">
        <v>99</v>
      </c>
      <c r="E105" t="s">
        <v>6</v>
      </c>
      <c r="F105" t="str">
        <f>IFERROR(VLOOKUP($A105,[1]data!$A$2:$G$51,2,FALSE),"nodata")</f>
        <v>nodata</v>
      </c>
      <c r="G105" t="str">
        <f>IFERROR(VLOOKUP($A105,[1]data!$A$2:$G$51,3,FALSE),"nodata")</f>
        <v>nodata</v>
      </c>
      <c r="H105" t="str">
        <f>IFERROR(VLOOKUP($A105,[1]data!$A$2:$G$51,4,FALSE),"nodata")</f>
        <v>nodata</v>
      </c>
      <c r="I105" t="str">
        <f>IFERROR(VLOOKUP($A105,[1]data!$A$2:$G$51,5,FALSE),"nodata")</f>
        <v>nodata</v>
      </c>
      <c r="J105" t="str">
        <f>IFERROR(VLOOKUP($A105,[1]data!$A$2:$G$51,6,FALSE),"nodata")</f>
        <v>nodata</v>
      </c>
      <c r="K105" t="str">
        <f>IFERROR(VLOOKUP($A105,[1]data!$A$2:$G$51,7,FALSE),"nodata")</f>
        <v>nodata</v>
      </c>
      <c r="L105">
        <v>905502</v>
      </c>
      <c r="M105" t="str">
        <f>IFERROR(J105/L105,"nodata")</f>
        <v>nodata</v>
      </c>
    </row>
    <row r="106" spans="1:13" x14ac:dyDescent="0.2">
      <c r="A106" t="s">
        <v>178</v>
      </c>
      <c r="B106">
        <v>96</v>
      </c>
      <c r="C106">
        <v>177</v>
      </c>
      <c r="D106">
        <v>100</v>
      </c>
      <c r="E106" t="s">
        <v>6</v>
      </c>
      <c r="F106" t="str">
        <f>IFERROR(VLOOKUP($A106,[1]data!$A$2:$G$51,2,FALSE),"nodata")</f>
        <v>nodata</v>
      </c>
      <c r="G106" t="str">
        <f>IFERROR(VLOOKUP($A106,[1]data!$A$2:$G$51,3,FALSE),"nodata")</f>
        <v>nodata</v>
      </c>
      <c r="H106" t="str">
        <f>IFERROR(VLOOKUP($A106,[1]data!$A$2:$G$51,4,FALSE),"nodata")</f>
        <v>nodata</v>
      </c>
      <c r="I106" t="str">
        <f>IFERROR(VLOOKUP($A106,[1]data!$A$2:$G$51,5,FALSE),"nodata")</f>
        <v>nodata</v>
      </c>
      <c r="J106" t="str">
        <f>IFERROR(VLOOKUP($A106,[1]data!$A$2:$G$51,6,FALSE),"nodata")</f>
        <v>nodata</v>
      </c>
      <c r="K106" t="str">
        <f>IFERROR(VLOOKUP($A106,[1]data!$A$2:$G$51,7,FALSE),"nodata")</f>
        <v>nodata</v>
      </c>
      <c r="L106">
        <v>1369125</v>
      </c>
      <c r="M106" t="str">
        <f>IFERROR(J106/L106,"nodata")</f>
        <v>nodata</v>
      </c>
    </row>
    <row r="107" spans="1:13" x14ac:dyDescent="0.2">
      <c r="A107" t="s">
        <v>57</v>
      </c>
      <c r="B107">
        <v>95</v>
      </c>
      <c r="C107">
        <v>502</v>
      </c>
      <c r="D107">
        <v>99</v>
      </c>
      <c r="E107" t="s">
        <v>6</v>
      </c>
      <c r="F107" t="str">
        <f>IFERROR(VLOOKUP($A107,[1]data!$A$2:$G$51,2,FALSE),"nodata")</f>
        <v>nodata</v>
      </c>
      <c r="G107" t="str">
        <f>IFERROR(VLOOKUP($A107,[1]data!$A$2:$G$51,3,FALSE),"nodata")</f>
        <v>nodata</v>
      </c>
      <c r="H107" t="str">
        <f>IFERROR(VLOOKUP($A107,[1]data!$A$2:$G$51,4,FALSE),"nodata")</f>
        <v>nodata</v>
      </c>
      <c r="I107" t="str">
        <f>IFERROR(VLOOKUP($A107,[1]data!$A$2:$G$51,5,FALSE),"nodata")</f>
        <v>nodata</v>
      </c>
      <c r="J107" t="str">
        <f>IFERROR(VLOOKUP($A107,[1]data!$A$2:$G$51,6,FALSE),"nodata")</f>
        <v>nodata</v>
      </c>
      <c r="K107" t="str">
        <f>IFERROR(VLOOKUP($A107,[1]data!$A$2:$G$51,7,FALSE),"nodata")</f>
        <v>nodata</v>
      </c>
      <c r="L107">
        <v>6377853</v>
      </c>
      <c r="M107" t="str">
        <f>IFERROR(J107/L107,"nodata")</f>
        <v>nodata</v>
      </c>
    </row>
    <row r="108" spans="1:13" x14ac:dyDescent="0.2">
      <c r="A108" t="s">
        <v>150</v>
      </c>
      <c r="B108">
        <v>94</v>
      </c>
      <c r="C108">
        <v>31</v>
      </c>
      <c r="D108">
        <v>100</v>
      </c>
      <c r="E108" t="s">
        <v>6</v>
      </c>
      <c r="F108" t="str">
        <f>IFERROR(VLOOKUP($A108,[1]data!$A$2:$G$51,2,FALSE),"nodata")</f>
        <v>nodata</v>
      </c>
      <c r="G108" t="str">
        <f>IFERROR(VLOOKUP($A108,[1]data!$A$2:$G$51,3,FALSE),"nodata")</f>
        <v>nodata</v>
      </c>
      <c r="H108" t="str">
        <f>IFERROR(VLOOKUP($A108,[1]data!$A$2:$G$51,4,FALSE),"nodata")</f>
        <v>nodata</v>
      </c>
      <c r="I108" t="str">
        <f>IFERROR(VLOOKUP($A108,[1]data!$A$2:$G$51,5,FALSE),"nodata")</f>
        <v>nodata</v>
      </c>
      <c r="J108" t="str">
        <f>IFERROR(VLOOKUP($A108,[1]data!$A$2:$G$51,6,FALSE),"nodata")</f>
        <v>nodata</v>
      </c>
      <c r="K108" t="str">
        <f>IFERROR(VLOOKUP($A108,[1]data!$A$2:$G$51,7,FALSE),"nodata")</f>
        <v>nodata</v>
      </c>
      <c r="L108">
        <v>32938213</v>
      </c>
      <c r="M108" t="str">
        <f>IFERROR(J108/L108,"nodata")</f>
        <v>nodata</v>
      </c>
    </row>
    <row r="109" spans="1:13" x14ac:dyDescent="0.2">
      <c r="A109" t="s">
        <v>153</v>
      </c>
      <c r="B109">
        <v>93</v>
      </c>
      <c r="C109">
        <v>365</v>
      </c>
      <c r="D109">
        <v>100</v>
      </c>
      <c r="E109" t="s">
        <v>10</v>
      </c>
      <c r="F109" t="str">
        <f>IFERROR(VLOOKUP($A109,[1]data!$A$2:$G$51,2,FALSE),"nodata")</f>
        <v>nodata</v>
      </c>
      <c r="G109" t="str">
        <f>IFERROR(VLOOKUP($A109,[1]data!$A$2:$G$51,3,FALSE),"nodata")</f>
        <v>nodata</v>
      </c>
      <c r="H109" t="str">
        <f>IFERROR(VLOOKUP($A109,[1]data!$A$2:$G$51,4,FALSE),"nodata")</f>
        <v>nodata</v>
      </c>
      <c r="I109" t="str">
        <f>IFERROR(VLOOKUP($A109,[1]data!$A$2:$G$51,5,FALSE),"nodata")</f>
        <v>nodata</v>
      </c>
      <c r="J109" t="str">
        <f>IFERROR(VLOOKUP($A109,[1]data!$A$2:$G$51,6,FALSE),"nodata")</f>
        <v>nodata</v>
      </c>
      <c r="K109" t="str">
        <f>IFERROR(VLOOKUP($A109,[1]data!$A$2:$G$51,7,FALSE),"nodata")</f>
        <v>nodata</v>
      </c>
      <c r="L109">
        <v>95843</v>
      </c>
      <c r="M109" t="str">
        <f>IFERROR(J109/L109,"nodata")</f>
        <v>nodata</v>
      </c>
    </row>
    <row r="110" spans="1:13" x14ac:dyDescent="0.2">
      <c r="A110" t="s">
        <v>92</v>
      </c>
      <c r="B110">
        <v>92</v>
      </c>
      <c r="C110">
        <v>642</v>
      </c>
      <c r="D110">
        <v>56</v>
      </c>
      <c r="E110" t="s">
        <v>10</v>
      </c>
      <c r="F110">
        <f>IFERROR(VLOOKUP($A110,[1]data!$A$2:$G$51,2,FALSE),"nodata")</f>
        <v>582253</v>
      </c>
      <c r="G110">
        <f>IFERROR(VLOOKUP($A110,[1]data!$A$2:$G$51,3,FALSE),"nodata")</f>
        <v>15399</v>
      </c>
      <c r="H110">
        <f>IFERROR(VLOOKUP($A110,[1]data!$A$2:$G$51,4,FALSE),"nodata")</f>
        <v>23046</v>
      </c>
      <c r="I110">
        <f>IFERROR(VLOOKUP($A110,[1]data!$A$2:$G$51,5,FALSE),"nodata")</f>
        <v>22476</v>
      </c>
      <c r="J110">
        <f>IFERROR(VLOOKUP($A110,[1]data!$A$2:$G$51,6,FALSE),"nodata")</f>
        <v>60921</v>
      </c>
      <c r="K110">
        <f>IFERROR(VLOOKUP($A110,[1]data!$A$2:$G$51,7,FALSE),"nodata")</f>
        <v>0.10462977434208154</v>
      </c>
      <c r="L110">
        <v>49699862</v>
      </c>
      <c r="M110">
        <f>IFERROR(J110/L110,"nodata")</f>
        <v>1.2257780514561591E-3</v>
      </c>
    </row>
    <row r="111" spans="1:13" x14ac:dyDescent="0.2">
      <c r="A111" t="s">
        <v>82</v>
      </c>
      <c r="B111">
        <v>91</v>
      </c>
      <c r="C111">
        <v>357</v>
      </c>
      <c r="D111">
        <v>98</v>
      </c>
      <c r="E111" t="s">
        <v>6</v>
      </c>
      <c r="F111" t="str">
        <f>IFERROR(VLOOKUP($A111,[1]data!$A$2:$G$51,2,FALSE),"nodata")</f>
        <v>nodata</v>
      </c>
      <c r="G111" t="str">
        <f>IFERROR(VLOOKUP($A111,[1]data!$A$2:$G$51,3,FALSE),"nodata")</f>
        <v>nodata</v>
      </c>
      <c r="H111" t="str">
        <f>IFERROR(VLOOKUP($A111,[1]data!$A$2:$G$51,4,FALSE),"nodata")</f>
        <v>nodata</v>
      </c>
      <c r="I111" t="str">
        <f>IFERROR(VLOOKUP($A111,[1]data!$A$2:$G$51,5,FALSE),"nodata")</f>
        <v>nodata</v>
      </c>
      <c r="J111" t="str">
        <f>IFERROR(VLOOKUP($A111,[1]data!$A$2:$G$51,6,FALSE),"nodata")</f>
        <v>nodata</v>
      </c>
      <c r="K111" t="str">
        <f>IFERROR(VLOOKUP($A111,[1]data!$A$2:$G$51,7,FALSE),"nodata")</f>
        <v>nodata</v>
      </c>
      <c r="L111">
        <v>263991379</v>
      </c>
      <c r="M111" t="str">
        <f>IFERROR(J111/L111,"nodata")</f>
        <v>nodata</v>
      </c>
    </row>
    <row r="112" spans="1:13" x14ac:dyDescent="0.2">
      <c r="A112" t="s">
        <v>186</v>
      </c>
      <c r="B112">
        <v>90</v>
      </c>
      <c r="C112">
        <v>13</v>
      </c>
      <c r="D112">
        <v>100</v>
      </c>
      <c r="E112" t="s">
        <v>6</v>
      </c>
      <c r="F112" t="str">
        <f>IFERROR(VLOOKUP($A112,[1]data!$A$2:$G$51,2,FALSE),"nodata")</f>
        <v>nodata</v>
      </c>
      <c r="G112" t="str">
        <f>IFERROR(VLOOKUP($A112,[1]data!$A$2:$G$51,3,FALSE),"nodata")</f>
        <v>nodata</v>
      </c>
      <c r="H112" t="str">
        <f>IFERROR(VLOOKUP($A112,[1]data!$A$2:$G$51,4,FALSE),"nodata")</f>
        <v>nodata</v>
      </c>
      <c r="I112" t="str">
        <f>IFERROR(VLOOKUP($A112,[1]data!$A$2:$G$51,5,FALSE),"nodata")</f>
        <v>nodata</v>
      </c>
      <c r="J112" t="str">
        <f>IFERROR(VLOOKUP($A112,[1]data!$A$2:$G$51,6,FALSE),"nodata")</f>
        <v>nodata</v>
      </c>
      <c r="K112" t="str">
        <f>IFERROR(VLOOKUP($A112,[1]data!$A$2:$G$51,7,FALSE),"nodata")</f>
        <v>nodata</v>
      </c>
      <c r="L112">
        <v>3456750</v>
      </c>
      <c r="M112" t="str">
        <f>IFERROR(J112/L112,"nodata")</f>
        <v>nodata</v>
      </c>
    </row>
    <row r="113" spans="1:13" x14ac:dyDescent="0.2">
      <c r="A113" t="s">
        <v>147</v>
      </c>
      <c r="B113">
        <v>89</v>
      </c>
      <c r="C113">
        <v>642</v>
      </c>
      <c r="D113">
        <v>100</v>
      </c>
      <c r="E113" t="s">
        <v>6</v>
      </c>
      <c r="F113" t="str">
        <f>IFERROR(VLOOKUP($A113,[1]data!$A$2:$G$51,2,FALSE),"nodata")</f>
        <v>nodata</v>
      </c>
      <c r="G113" t="str">
        <f>IFERROR(VLOOKUP($A113,[1]data!$A$2:$G$51,3,FALSE),"nodata")</f>
        <v>nodata</v>
      </c>
      <c r="H113" t="str">
        <f>IFERROR(VLOOKUP($A113,[1]data!$A$2:$G$51,4,FALSE),"nodata")</f>
        <v>nodata</v>
      </c>
      <c r="I113" t="str">
        <f>IFERROR(VLOOKUP($A113,[1]data!$A$2:$G$51,5,FALSE),"nodata")</f>
        <v>nodata</v>
      </c>
      <c r="J113" t="str">
        <f>IFERROR(VLOOKUP($A113,[1]data!$A$2:$G$51,6,FALSE),"nodata")</f>
        <v>nodata</v>
      </c>
      <c r="K113" t="str">
        <f>IFERROR(VLOOKUP($A113,[1]data!$A$2:$G$51,7,FALSE),"nodata")</f>
        <v>nodata</v>
      </c>
      <c r="L113">
        <v>196440</v>
      </c>
      <c r="M113" t="str">
        <f>IFERROR(J113/L113,"nodata")</f>
        <v>nodata</v>
      </c>
    </row>
    <row r="114" spans="1:13" x14ac:dyDescent="0.2">
      <c r="A114" t="s">
        <v>72</v>
      </c>
      <c r="B114">
        <v>88</v>
      </c>
      <c r="C114">
        <v>478</v>
      </c>
      <c r="D114">
        <v>92</v>
      </c>
      <c r="E114" t="s">
        <v>6</v>
      </c>
      <c r="F114" t="str">
        <f>IFERROR(VLOOKUP($A114,[1]data!$A$2:$G$51,2,FALSE),"nodata")</f>
        <v>nodata</v>
      </c>
      <c r="G114" t="str">
        <f>IFERROR(VLOOKUP($A114,[1]data!$A$2:$G$51,3,FALSE),"nodata")</f>
        <v>nodata</v>
      </c>
      <c r="H114" t="str">
        <f>IFERROR(VLOOKUP($A114,[1]data!$A$2:$G$51,4,FALSE),"nodata")</f>
        <v>nodata</v>
      </c>
      <c r="I114" t="str">
        <f>IFERROR(VLOOKUP($A114,[1]data!$A$2:$G$51,5,FALSE),"nodata")</f>
        <v>nodata</v>
      </c>
      <c r="J114" t="str">
        <f>IFERROR(VLOOKUP($A114,[1]data!$A$2:$G$51,6,FALSE),"nodata")</f>
        <v>nodata</v>
      </c>
      <c r="K114" t="str">
        <f>IFERROR(VLOOKUP($A114,[1]data!$A$2:$G$51,7,FALSE),"nodata")</f>
        <v>nodata</v>
      </c>
      <c r="L114">
        <v>16913503</v>
      </c>
      <c r="M114" t="str">
        <f>IFERROR(J114/L114,"nodata")</f>
        <v>nodata</v>
      </c>
    </row>
    <row r="115" spans="1:13" x14ac:dyDescent="0.2">
      <c r="A115" t="s">
        <v>187</v>
      </c>
      <c r="B115">
        <v>87</v>
      </c>
      <c r="C115">
        <v>1233</v>
      </c>
      <c r="D115">
        <v>100</v>
      </c>
      <c r="E115" t="s">
        <v>6</v>
      </c>
      <c r="F115" t="str">
        <f>IFERROR(VLOOKUP($A115,[1]data!$A$2:$G$51,2,FALSE),"nodata")</f>
        <v>nodata</v>
      </c>
      <c r="G115" t="str">
        <f>IFERROR(VLOOKUP($A115,[1]data!$A$2:$G$51,3,FALSE),"nodata")</f>
        <v>nodata</v>
      </c>
      <c r="H115" t="str">
        <f>IFERROR(VLOOKUP($A115,[1]data!$A$2:$G$51,4,FALSE),"nodata")</f>
        <v>nodata</v>
      </c>
      <c r="I115" t="str">
        <f>IFERROR(VLOOKUP($A115,[1]data!$A$2:$G$51,5,FALSE),"nodata")</f>
        <v>nodata</v>
      </c>
      <c r="J115" t="str">
        <f>IFERROR(VLOOKUP($A115,[1]data!$A$2:$G$51,6,FALSE),"nodata")</f>
        <v>nodata</v>
      </c>
      <c r="K115" t="str">
        <f>IFERROR(VLOOKUP($A115,[1]data!$A$2:$G$51,7,FALSE),"nodata")</f>
        <v>nodata</v>
      </c>
      <c r="L115">
        <v>32387200</v>
      </c>
      <c r="M115" t="str">
        <f>IFERROR(J115/L115,"nodata")</f>
        <v>nodata</v>
      </c>
    </row>
    <row r="116" spans="1:13" x14ac:dyDescent="0.2">
      <c r="A116" t="s">
        <v>165</v>
      </c>
      <c r="B116">
        <v>86</v>
      </c>
      <c r="C116">
        <v>193</v>
      </c>
      <c r="D116">
        <v>98</v>
      </c>
      <c r="E116" t="s">
        <v>6</v>
      </c>
      <c r="F116" t="str">
        <f>IFERROR(VLOOKUP($A116,[1]data!$A$2:$G$51,2,FALSE),"nodata")</f>
        <v>nodata</v>
      </c>
      <c r="G116" t="str">
        <f>IFERROR(VLOOKUP($A116,[1]data!$A$2:$G$51,3,FALSE),"nodata")</f>
        <v>nodata</v>
      </c>
      <c r="H116" t="str">
        <f>IFERROR(VLOOKUP($A116,[1]data!$A$2:$G$51,4,FALSE),"nodata")</f>
        <v>nodata</v>
      </c>
      <c r="I116" t="str">
        <f>IFERROR(VLOOKUP($A116,[1]data!$A$2:$G$51,5,FALSE),"nodata")</f>
        <v>nodata</v>
      </c>
      <c r="J116" t="str">
        <f>IFERROR(VLOOKUP($A116,[1]data!$A$2:$G$51,6,FALSE),"nodata")</f>
        <v>nodata</v>
      </c>
      <c r="K116" t="str">
        <f>IFERROR(VLOOKUP($A116,[1]data!$A$2:$G$51,7,FALSE),"nodata")</f>
        <v>nodata</v>
      </c>
      <c r="L116">
        <v>178844</v>
      </c>
      <c r="M116" t="str">
        <f>IFERROR(J116/L116,"nodata")</f>
        <v>nodata</v>
      </c>
    </row>
    <row r="117" spans="1:13" x14ac:dyDescent="0.2">
      <c r="A117" t="s">
        <v>177</v>
      </c>
      <c r="B117">
        <v>85</v>
      </c>
      <c r="C117">
        <v>86</v>
      </c>
      <c r="D117">
        <v>97</v>
      </c>
      <c r="E117" t="s">
        <v>6</v>
      </c>
      <c r="F117" t="str">
        <f>IFERROR(VLOOKUP($A117,[1]data!$A$2:$G$51,2,FALSE),"nodata")</f>
        <v>nodata</v>
      </c>
      <c r="G117" t="str">
        <f>IFERROR(VLOOKUP($A117,[1]data!$A$2:$G$51,3,FALSE),"nodata")</f>
        <v>nodata</v>
      </c>
      <c r="H117" t="str">
        <f>IFERROR(VLOOKUP($A117,[1]data!$A$2:$G$51,4,FALSE),"nodata")</f>
        <v>nodata</v>
      </c>
      <c r="I117" t="str">
        <f>IFERROR(VLOOKUP($A117,[1]data!$A$2:$G$51,5,FALSE),"nodata")</f>
        <v>nodata</v>
      </c>
      <c r="J117" t="str">
        <f>IFERROR(VLOOKUP($A117,[1]data!$A$2:$G$51,6,FALSE),"nodata")</f>
        <v>nodata</v>
      </c>
      <c r="K117" t="str">
        <f>IFERROR(VLOOKUP($A117,[1]data!$A$2:$G$51,7,FALSE),"nodata")</f>
        <v>nodata</v>
      </c>
      <c r="L117">
        <v>108020</v>
      </c>
      <c r="M117" t="str">
        <f>IFERROR(J117/L117,"nodata")</f>
        <v>nodata</v>
      </c>
    </row>
    <row r="118" spans="1:13" x14ac:dyDescent="0.2">
      <c r="A118" t="s">
        <v>143</v>
      </c>
      <c r="B118">
        <v>83</v>
      </c>
      <c r="C118">
        <v>11</v>
      </c>
      <c r="D118">
        <v>100</v>
      </c>
      <c r="E118" t="s">
        <v>6</v>
      </c>
      <c r="F118" t="str">
        <f>IFERROR(VLOOKUP($A118,[1]data!$A$2:$G$51,2,FALSE),"nodata")</f>
        <v>nodata</v>
      </c>
      <c r="G118" t="str">
        <f>IFERROR(VLOOKUP($A118,[1]data!$A$2:$G$51,3,FALSE),"nodata")</f>
        <v>nodata</v>
      </c>
      <c r="H118" t="str">
        <f>IFERROR(VLOOKUP($A118,[1]data!$A$2:$G$51,4,FALSE),"nodata")</f>
        <v>nodata</v>
      </c>
      <c r="I118" t="str">
        <f>IFERROR(VLOOKUP($A118,[1]data!$A$2:$G$51,5,FALSE),"nodata")</f>
        <v>nodata</v>
      </c>
      <c r="J118" t="str">
        <f>IFERROR(VLOOKUP($A118,[1]data!$A$2:$G$51,6,FALSE),"nodata")</f>
        <v>nodata</v>
      </c>
      <c r="K118" t="str">
        <f>IFERROR(VLOOKUP($A118,[1]data!$A$2:$G$51,7,FALSE),"nodata")</f>
        <v>nodata</v>
      </c>
      <c r="L118">
        <v>2639211</v>
      </c>
      <c r="M118" t="str">
        <f>IFERROR(J118/L118,"nodata")</f>
        <v>nodata</v>
      </c>
    </row>
    <row r="119" spans="1:13" x14ac:dyDescent="0.2">
      <c r="A119" t="s">
        <v>188</v>
      </c>
      <c r="B119">
        <v>83</v>
      </c>
      <c r="C119">
        <v>1091</v>
      </c>
      <c r="D119">
        <v>58</v>
      </c>
      <c r="E119" t="s">
        <v>6</v>
      </c>
      <c r="F119" t="str">
        <f>IFERROR(VLOOKUP($A119,[1]data!$A$2:$G$51,2,FALSE),"nodata")</f>
        <v>nodata</v>
      </c>
      <c r="G119" t="str">
        <f>IFERROR(VLOOKUP($A119,[1]data!$A$2:$G$51,3,FALSE),"nodata")</f>
        <v>nodata</v>
      </c>
      <c r="H119" t="str">
        <f>IFERROR(VLOOKUP($A119,[1]data!$A$2:$G$51,4,FALSE),"nodata")</f>
        <v>nodata</v>
      </c>
      <c r="I119" t="str">
        <f>IFERROR(VLOOKUP($A119,[1]data!$A$2:$G$51,5,FALSE),"nodata")</f>
        <v>nodata</v>
      </c>
      <c r="J119" t="str">
        <f>IFERROR(VLOOKUP($A119,[1]data!$A$2:$G$51,6,FALSE),"nodata")</f>
        <v>nodata</v>
      </c>
      <c r="K119" t="str">
        <f>IFERROR(VLOOKUP($A119,[1]data!$A$2:$G$51,7,FALSE),"nodata")</f>
        <v>nodata</v>
      </c>
      <c r="L119">
        <v>276244</v>
      </c>
      <c r="M119" t="str">
        <f>IFERROR(J119/L119,"nodata")</f>
        <v>nodata</v>
      </c>
    </row>
    <row r="120" spans="1:13" x14ac:dyDescent="0.2">
      <c r="A120" t="s">
        <v>190</v>
      </c>
      <c r="B120">
        <v>82</v>
      </c>
      <c r="C120">
        <v>1261</v>
      </c>
      <c r="D120">
        <v>100</v>
      </c>
      <c r="E120" t="s">
        <v>6</v>
      </c>
      <c r="F120" t="str">
        <f>IFERROR(VLOOKUP($A120,[1]data!$A$2:$G$51,2,FALSE),"nodata")</f>
        <v>nodata</v>
      </c>
      <c r="G120" t="str">
        <f>IFERROR(VLOOKUP($A120,[1]data!$A$2:$G$51,3,FALSE),"nodata")</f>
        <v>nodata</v>
      </c>
      <c r="H120" t="str">
        <f>IFERROR(VLOOKUP($A120,[1]data!$A$2:$G$51,4,FALSE),"nodata")</f>
        <v>nodata</v>
      </c>
      <c r="I120" t="str">
        <f>IFERROR(VLOOKUP($A120,[1]data!$A$2:$G$51,5,FALSE),"nodata")</f>
        <v>nodata</v>
      </c>
      <c r="J120" t="str">
        <f>IFERROR(VLOOKUP($A120,[1]data!$A$2:$G$51,6,FALSE),"nodata")</f>
        <v>nodata</v>
      </c>
      <c r="K120" t="str">
        <f>IFERROR(VLOOKUP($A120,[1]data!$A$2:$G$51,7,FALSE),"nodata")</f>
        <v>nodata</v>
      </c>
      <c r="L120">
        <v>95540800</v>
      </c>
      <c r="M120" t="str">
        <f>IFERROR(J120/L120,"nodata")</f>
        <v>nodata</v>
      </c>
    </row>
    <row r="121" spans="1:13" x14ac:dyDescent="0.2">
      <c r="A121" t="s">
        <v>27</v>
      </c>
      <c r="B121">
        <v>81</v>
      </c>
      <c r="C121">
        <v>400</v>
      </c>
      <c r="D121">
        <v>100</v>
      </c>
      <c r="E121" t="s">
        <v>6</v>
      </c>
      <c r="F121" t="str">
        <f>IFERROR(VLOOKUP($A121,[1]data!$A$2:$G$51,2,FALSE),"nodata")</f>
        <v>nodata</v>
      </c>
      <c r="G121" t="str">
        <f>IFERROR(VLOOKUP($A121,[1]data!$A$2:$G$51,3,FALSE),"nodata")</f>
        <v>nodata</v>
      </c>
      <c r="H121" t="str">
        <f>IFERROR(VLOOKUP($A121,[1]data!$A$2:$G$51,4,FALSE),"nodata")</f>
        <v>nodata</v>
      </c>
      <c r="I121" t="str">
        <f>IFERROR(VLOOKUP($A121,[1]data!$A$2:$G$51,5,FALSE),"nodata")</f>
        <v>nodata</v>
      </c>
      <c r="J121" t="str">
        <f>IFERROR(VLOOKUP($A121,[1]data!$A$2:$G$51,6,FALSE),"nodata")</f>
        <v>nodata</v>
      </c>
      <c r="K121" t="str">
        <f>IFERROR(VLOOKUP($A121,[1]data!$A$2:$G$51,7,FALSE),"nodata")</f>
        <v>nodata</v>
      </c>
      <c r="L121">
        <v>3507017</v>
      </c>
      <c r="M121" t="str">
        <f>IFERROR(J121/L121,"nodata")</f>
        <v>nodata</v>
      </c>
    </row>
    <row r="122" spans="1:13" x14ac:dyDescent="0.2">
      <c r="A122" t="s">
        <v>182</v>
      </c>
      <c r="B122">
        <v>80</v>
      </c>
      <c r="C122">
        <v>638</v>
      </c>
      <c r="D122">
        <v>100</v>
      </c>
      <c r="E122" t="s">
        <v>6</v>
      </c>
      <c r="F122" t="str">
        <f>IFERROR(VLOOKUP($A122,[1]data!$A$2:$G$51,2,FALSE),"nodata")</f>
        <v>nodata</v>
      </c>
      <c r="G122" t="str">
        <f>IFERROR(VLOOKUP($A122,[1]data!$A$2:$G$51,3,FALSE),"nodata")</f>
        <v>nodata</v>
      </c>
      <c r="H122" t="str">
        <f>IFERROR(VLOOKUP($A122,[1]data!$A$2:$G$51,4,FALSE),"nodata")</f>
        <v>nodata</v>
      </c>
      <c r="I122" t="str">
        <f>IFERROR(VLOOKUP($A122,[1]data!$A$2:$G$51,5,FALSE),"nodata")</f>
        <v>nodata</v>
      </c>
      <c r="J122" t="str">
        <f>IFERROR(VLOOKUP($A122,[1]data!$A$2:$G$51,6,FALSE),"nodata")</f>
        <v>nodata</v>
      </c>
      <c r="K122" t="str">
        <f>IFERROR(VLOOKUP($A122,[1]data!$A$2:$G$51,7,FALSE),"nodata")</f>
        <v>nodata</v>
      </c>
      <c r="L122">
        <v>44831159</v>
      </c>
      <c r="M122" t="str">
        <f>IFERROR(J122/L122,"nodata")</f>
        <v>nodata</v>
      </c>
    </row>
    <row r="123" spans="1:13" x14ac:dyDescent="0.2">
      <c r="A123" t="s">
        <v>148</v>
      </c>
      <c r="B123">
        <v>79</v>
      </c>
      <c r="C123">
        <v>59</v>
      </c>
      <c r="D123">
        <v>100</v>
      </c>
      <c r="E123" t="s">
        <v>6</v>
      </c>
      <c r="F123" t="str">
        <f>IFERROR(VLOOKUP($A123,[1]data!$A$2:$G$51,2,FALSE),"nodata")</f>
        <v>nodata</v>
      </c>
      <c r="G123" t="str">
        <f>IFERROR(VLOOKUP($A123,[1]data!$A$2:$G$51,3,FALSE),"nodata")</f>
        <v>nodata</v>
      </c>
      <c r="H123" t="str">
        <f>IFERROR(VLOOKUP($A123,[1]data!$A$2:$G$51,4,FALSE),"nodata")</f>
        <v>nodata</v>
      </c>
      <c r="I123" t="str">
        <f>IFERROR(VLOOKUP($A123,[1]data!$A$2:$G$51,5,FALSE),"nodata")</f>
        <v>nodata</v>
      </c>
      <c r="J123" t="str">
        <f>IFERROR(VLOOKUP($A123,[1]data!$A$2:$G$51,6,FALSE),"nodata")</f>
        <v>nodata</v>
      </c>
      <c r="K123" t="str">
        <f>IFERROR(VLOOKUP($A123,[1]data!$A$2:$G$51,7,FALSE),"nodata")</f>
        <v>nodata</v>
      </c>
      <c r="L123">
        <v>33400</v>
      </c>
      <c r="M123" t="str">
        <f>IFERROR(J123/L123,"nodata")</f>
        <v>nodata</v>
      </c>
    </row>
    <row r="124" spans="1:13" x14ac:dyDescent="0.2">
      <c r="A124" t="s">
        <v>40</v>
      </c>
      <c r="B124">
        <v>78</v>
      </c>
      <c r="C124">
        <v>390</v>
      </c>
      <c r="D124">
        <v>100</v>
      </c>
      <c r="E124" t="s">
        <v>6</v>
      </c>
      <c r="F124" t="str">
        <f>IFERROR(VLOOKUP($A124,[1]data!$A$2:$G$51,2,FALSE),"nodata")</f>
        <v>nodata</v>
      </c>
      <c r="G124" t="str">
        <f>IFERROR(VLOOKUP($A124,[1]data!$A$2:$G$51,3,FALSE),"nodata")</f>
        <v>nodata</v>
      </c>
      <c r="H124" t="str">
        <f>IFERROR(VLOOKUP($A124,[1]data!$A$2:$G$51,4,FALSE),"nodata")</f>
        <v>nodata</v>
      </c>
      <c r="I124" t="str">
        <f>IFERROR(VLOOKUP($A124,[1]data!$A$2:$G$51,5,FALSE),"nodata")</f>
        <v>nodata</v>
      </c>
      <c r="J124" t="str">
        <f>IFERROR(VLOOKUP($A124,[1]data!$A$2:$G$51,6,FALSE),"nodata")</f>
        <v>nodata</v>
      </c>
      <c r="K124" t="str">
        <f>IFERROR(VLOOKUP($A124,[1]data!$A$2:$G$51,7,FALSE),"nodata")</f>
        <v>nodata</v>
      </c>
      <c r="L124">
        <v>1386395000</v>
      </c>
      <c r="M124" t="str">
        <f>IFERROR(J124/L124,"nodata")</f>
        <v>nodata</v>
      </c>
    </row>
    <row r="125" spans="1:13" x14ac:dyDescent="0.2">
      <c r="A125" t="s">
        <v>179</v>
      </c>
      <c r="B125">
        <v>77</v>
      </c>
      <c r="C125">
        <v>697</v>
      </c>
      <c r="D125">
        <v>100</v>
      </c>
      <c r="E125" t="s">
        <v>6</v>
      </c>
      <c r="F125">
        <f>IFERROR(VLOOKUP($A125,[1]data!$A$2:$G$51,2,FALSE),"nodata")</f>
        <v>155176</v>
      </c>
      <c r="G125">
        <f>IFERROR(VLOOKUP($A125,[1]data!$A$2:$G$51,3,FALSE),"nodata")</f>
        <v>2045</v>
      </c>
      <c r="H125">
        <f>IFERROR(VLOOKUP($A125,[1]data!$A$2:$G$51,4,FALSE),"nodata")</f>
        <v>4645</v>
      </c>
      <c r="I125">
        <f>IFERROR(VLOOKUP($A125,[1]data!$A$2:$G$51,5,FALSE),"nodata")</f>
        <v>6842</v>
      </c>
      <c r="J125">
        <f>IFERROR(VLOOKUP($A125,[1]data!$A$2:$G$51,6,FALSE),"nodata")</f>
        <v>13532</v>
      </c>
      <c r="K125">
        <f>IFERROR(VLOOKUP($A125,[1]data!$A$2:$G$51,7,FALSE),"nodata")</f>
        <v>8.7204206836108675E-2</v>
      </c>
      <c r="L125">
        <v>11532127</v>
      </c>
      <c r="M125">
        <f>IFERROR(J125/L125,"nodata")</f>
        <v>1.1734175317354727E-3</v>
      </c>
    </row>
    <row r="126" spans="1:13" x14ac:dyDescent="0.2">
      <c r="A126" t="s">
        <v>112</v>
      </c>
      <c r="B126">
        <v>76</v>
      </c>
      <c r="C126">
        <v>268</v>
      </c>
      <c r="D126">
        <v>100</v>
      </c>
      <c r="E126" t="s">
        <v>6</v>
      </c>
      <c r="F126" t="str">
        <f>IFERROR(VLOOKUP($A126,[1]data!$A$2:$G$51,2,FALSE),"nodata")</f>
        <v>nodata</v>
      </c>
      <c r="G126" t="str">
        <f>IFERROR(VLOOKUP($A126,[1]data!$A$2:$G$51,3,FALSE),"nodata")</f>
        <v>nodata</v>
      </c>
      <c r="H126" t="str">
        <f>IFERROR(VLOOKUP($A126,[1]data!$A$2:$G$51,4,FALSE),"nodata")</f>
        <v>nodata</v>
      </c>
      <c r="I126" t="str">
        <f>IFERROR(VLOOKUP($A126,[1]data!$A$2:$G$51,5,FALSE),"nodata")</f>
        <v>nodata</v>
      </c>
      <c r="J126" t="str">
        <f>IFERROR(VLOOKUP($A126,[1]data!$A$2:$G$51,6,FALSE),"nodata")</f>
        <v>nodata</v>
      </c>
      <c r="K126" t="str">
        <f>IFERROR(VLOOKUP($A126,[1]data!$A$2:$G$51,7,FALSE),"nodata")</f>
        <v>nodata</v>
      </c>
      <c r="L126">
        <v>465292</v>
      </c>
      <c r="M126" t="str">
        <f>IFERROR(J126/L126,"nodata")</f>
        <v>nodata</v>
      </c>
    </row>
    <row r="127" spans="1:13" x14ac:dyDescent="0.2">
      <c r="A127" t="s">
        <v>97</v>
      </c>
      <c r="B127">
        <v>75</v>
      </c>
      <c r="C127">
        <v>858</v>
      </c>
      <c r="D127">
        <v>100</v>
      </c>
      <c r="E127" t="s">
        <v>6</v>
      </c>
      <c r="F127" t="str">
        <f>IFERROR(VLOOKUP($A127,[1]data!$A$2:$G$51,2,FALSE),"nodata")</f>
        <v>nodata</v>
      </c>
      <c r="G127" t="str">
        <f>IFERROR(VLOOKUP($A127,[1]data!$A$2:$G$51,3,FALSE),"nodata")</f>
        <v>nodata</v>
      </c>
      <c r="H127" t="str">
        <f>IFERROR(VLOOKUP($A127,[1]data!$A$2:$G$51,4,FALSE),"nodata")</f>
        <v>nodata</v>
      </c>
      <c r="I127" t="str">
        <f>IFERROR(VLOOKUP($A127,[1]data!$A$2:$G$51,5,FALSE),"nodata")</f>
        <v>nodata</v>
      </c>
      <c r="J127" t="str">
        <f>IFERROR(VLOOKUP($A127,[1]data!$A$2:$G$51,6,FALSE),"nodata")</f>
        <v>nodata</v>
      </c>
      <c r="K127" t="str">
        <f>IFERROR(VLOOKUP($A127,[1]data!$A$2:$G$51,7,FALSE),"nodata")</f>
        <v>nodata</v>
      </c>
      <c r="L127">
        <v>6201500</v>
      </c>
      <c r="M127" t="str">
        <f>IFERROR(J127/L127,"nodata")</f>
        <v>nodata</v>
      </c>
    </row>
    <row r="128" spans="1:13" x14ac:dyDescent="0.2">
      <c r="A128" t="s">
        <v>160</v>
      </c>
      <c r="B128">
        <v>74</v>
      </c>
      <c r="C128">
        <v>156</v>
      </c>
      <c r="D128">
        <v>84</v>
      </c>
      <c r="E128" t="s">
        <v>10</v>
      </c>
      <c r="F128">
        <f>IFERROR(VLOOKUP($A128,[1]data!$A$2:$G$51,2,FALSE),"nodata")</f>
        <v>1220394</v>
      </c>
      <c r="G128">
        <f>IFERROR(VLOOKUP($A128,[1]data!$A$2:$G$51,3,FALSE),"nodata")</f>
        <v>43275</v>
      </c>
      <c r="H128">
        <f>IFERROR(VLOOKUP($A128,[1]data!$A$2:$G$51,4,FALSE),"nodata")</f>
        <v>42243</v>
      </c>
      <c r="I128">
        <f>IFERROR(VLOOKUP($A128,[1]data!$A$2:$G$51,5,FALSE),"nodata")</f>
        <v>41195</v>
      </c>
      <c r="J128">
        <f>IFERROR(VLOOKUP($A128,[1]data!$A$2:$G$51,6,FALSE),"nodata")</f>
        <v>126713</v>
      </c>
      <c r="K128">
        <f>IFERROR(VLOOKUP($A128,[1]data!$A$2:$G$51,7,FALSE),"nodata")</f>
        <v>0.10382958290519291</v>
      </c>
      <c r="L128">
        <v>56717156</v>
      </c>
      <c r="M128">
        <f>IFERROR(J128/L128,"nodata")</f>
        <v>2.2341211890102527E-3</v>
      </c>
    </row>
    <row r="129" spans="1:15" x14ac:dyDescent="0.2">
      <c r="A129" t="s">
        <v>25</v>
      </c>
      <c r="B129">
        <v>73</v>
      </c>
      <c r="C129">
        <v>525</v>
      </c>
      <c r="D129">
        <v>100</v>
      </c>
      <c r="E129" t="s">
        <v>6</v>
      </c>
      <c r="F129" t="str">
        <f>IFERROR(VLOOKUP($A129,[1]data!$A$2:$G$51,2,FALSE),"nodata")</f>
        <v>nodata</v>
      </c>
      <c r="G129" t="str">
        <f>IFERROR(VLOOKUP($A129,[1]data!$A$2:$G$51,3,FALSE),"nodata")</f>
        <v>nodata</v>
      </c>
      <c r="H129" t="str">
        <f>IFERROR(VLOOKUP($A129,[1]data!$A$2:$G$51,4,FALSE),"nodata")</f>
        <v>nodata</v>
      </c>
      <c r="I129" t="str">
        <f>IFERROR(VLOOKUP($A129,[1]data!$A$2:$G$51,5,FALSE),"nodata")</f>
        <v>nodata</v>
      </c>
      <c r="J129" t="str">
        <f>IFERROR(VLOOKUP($A129,[1]data!$A$2:$G$51,6,FALSE),"nodata")</f>
        <v>nodata</v>
      </c>
      <c r="K129" t="str">
        <f>IFERROR(VLOOKUP($A129,[1]data!$A$2:$G$51,7,FALSE),"nodata")</f>
        <v>nodata</v>
      </c>
      <c r="L129">
        <v>807610</v>
      </c>
      <c r="M129" t="str">
        <f>IFERROR(J129/L129,"nodata")</f>
        <v>nodata</v>
      </c>
    </row>
    <row r="130" spans="1:15" x14ac:dyDescent="0.2">
      <c r="A130" t="s">
        <v>30</v>
      </c>
      <c r="B130">
        <v>72</v>
      </c>
      <c r="C130">
        <v>54</v>
      </c>
      <c r="D130">
        <v>100</v>
      </c>
      <c r="E130" t="s">
        <v>6</v>
      </c>
      <c r="F130" t="str">
        <f>IFERROR(VLOOKUP($A130,[1]data!$A$2:$G$51,2,FALSE),"nodata")</f>
        <v>nodata</v>
      </c>
      <c r="G130" t="str">
        <f>IFERROR(VLOOKUP($A130,[1]data!$A$2:$G$51,3,FALSE),"nodata")</f>
        <v>nodata</v>
      </c>
      <c r="H130" t="str">
        <f>IFERROR(VLOOKUP($A130,[1]data!$A$2:$G$51,4,FALSE),"nodata")</f>
        <v>nodata</v>
      </c>
      <c r="I130" t="str">
        <f>IFERROR(VLOOKUP($A130,[1]data!$A$2:$G$51,5,FALSE),"nodata")</f>
        <v>nodata</v>
      </c>
      <c r="J130" t="str">
        <f>IFERROR(VLOOKUP($A130,[1]data!$A$2:$G$51,6,FALSE),"nodata")</f>
        <v>nodata</v>
      </c>
      <c r="K130" t="str">
        <f>IFERROR(VLOOKUP($A130,[1]data!$A$2:$G$51,7,FALSE),"nodata")</f>
        <v>nodata</v>
      </c>
      <c r="L130">
        <v>428697</v>
      </c>
      <c r="M130" t="str">
        <f>IFERROR(J130/L130,"nodata")</f>
        <v>nodata</v>
      </c>
    </row>
    <row r="131" spans="1:15" x14ac:dyDescent="0.2">
      <c r="A131" t="s">
        <v>28</v>
      </c>
      <c r="B131">
        <v>71</v>
      </c>
      <c r="C131">
        <v>324</v>
      </c>
      <c r="D131">
        <v>61</v>
      </c>
      <c r="E131" t="s">
        <v>10</v>
      </c>
      <c r="F131">
        <f>IFERROR(VLOOKUP($A131,[1]data!$A$2:$G$51,2,FALSE),"nodata")</f>
        <v>578084</v>
      </c>
      <c r="G131">
        <f>IFERROR(VLOOKUP($A131,[1]data!$A$2:$G$51,3,FALSE),"nodata")</f>
        <v>13070</v>
      </c>
      <c r="H131">
        <f>IFERROR(VLOOKUP($A131,[1]data!$A$2:$G$51,4,FALSE),"nodata")</f>
        <v>13764</v>
      </c>
      <c r="I131">
        <f>IFERROR(VLOOKUP($A131,[1]data!$A$2:$G$51,5,FALSE),"nodata")</f>
        <v>9793</v>
      </c>
      <c r="J131">
        <f>IFERROR(VLOOKUP($A131,[1]data!$A$2:$G$51,6,FALSE),"nodata")</f>
        <v>36627</v>
      </c>
      <c r="K131">
        <f>IFERROR(VLOOKUP($A131,[1]data!$A$2:$G$51,7,FALSE),"nodata")</f>
        <v>6.3359304184167006E-2</v>
      </c>
      <c r="L131">
        <v>2291661</v>
      </c>
      <c r="M131">
        <f>IFERROR(J131/L131,"nodata")</f>
        <v>1.5982730430024336E-2</v>
      </c>
    </row>
    <row r="132" spans="1:15" x14ac:dyDescent="0.2">
      <c r="A132" t="s">
        <v>135</v>
      </c>
      <c r="B132">
        <v>70</v>
      </c>
      <c r="C132">
        <v>9</v>
      </c>
      <c r="D132">
        <v>93</v>
      </c>
      <c r="E132" t="s">
        <v>6</v>
      </c>
      <c r="F132" t="str">
        <f>IFERROR(VLOOKUP($A132,[1]data!$A$2:$G$51,2,FALSE),"nodata")</f>
        <v>nodata</v>
      </c>
      <c r="G132" t="str">
        <f>IFERROR(VLOOKUP($A132,[1]data!$A$2:$G$51,3,FALSE),"nodata")</f>
        <v>nodata</v>
      </c>
      <c r="H132" t="str">
        <f>IFERROR(VLOOKUP($A132,[1]data!$A$2:$G$51,4,FALSE),"nodata")</f>
        <v>nodata</v>
      </c>
      <c r="I132" t="str">
        <f>IFERROR(VLOOKUP($A132,[1]data!$A$2:$G$51,5,FALSE),"nodata")</f>
        <v>nodata</v>
      </c>
      <c r="J132" t="str">
        <f>IFERROR(VLOOKUP($A132,[1]data!$A$2:$G$51,6,FALSE),"nodata")</f>
        <v>nodata</v>
      </c>
      <c r="K132" t="str">
        <f>IFERROR(VLOOKUP($A132,[1]data!$A$2:$G$51,7,FALSE),"nodata")</f>
        <v>nodata</v>
      </c>
      <c r="L132">
        <v>4098587</v>
      </c>
      <c r="M132" t="str">
        <f>IFERROR(J132/L132,"nodata")</f>
        <v>nodata</v>
      </c>
    </row>
    <row r="133" spans="1:15" x14ac:dyDescent="0.2">
      <c r="A133" t="s">
        <v>180</v>
      </c>
      <c r="B133">
        <v>69</v>
      </c>
      <c r="C133">
        <v>600</v>
      </c>
      <c r="D133">
        <v>100</v>
      </c>
      <c r="E133" t="s">
        <v>6</v>
      </c>
      <c r="F133" t="str">
        <f>IFERROR(VLOOKUP($A133,[1]data!$A$2:$G$51,2,FALSE),"nodata")</f>
        <v>nodata</v>
      </c>
      <c r="G133" t="str">
        <f>IFERROR(VLOOKUP($A133,[1]data!$A$2:$G$51,3,FALSE),"nodata")</f>
        <v>nodata</v>
      </c>
      <c r="H133" t="str">
        <f>IFERROR(VLOOKUP($A133,[1]data!$A$2:$G$51,4,FALSE),"nodata")</f>
        <v>nodata</v>
      </c>
      <c r="I133" t="str">
        <f>IFERROR(VLOOKUP($A133,[1]data!$A$2:$G$51,5,FALSE),"nodata")</f>
        <v>nodata</v>
      </c>
      <c r="J133" t="str">
        <f>IFERROR(VLOOKUP($A133,[1]data!$A$2:$G$51,6,FALSE),"nodata")</f>
        <v>nodata</v>
      </c>
      <c r="K133" t="str">
        <f>IFERROR(VLOOKUP($A133,[1]data!$A$2:$G$51,7,FALSE),"nodata")</f>
        <v>nodata</v>
      </c>
      <c r="L133">
        <v>80745020</v>
      </c>
      <c r="M133" t="str">
        <f>IFERROR(J133/L133,"nodata")</f>
        <v>nodata</v>
      </c>
    </row>
    <row r="134" spans="1:15" x14ac:dyDescent="0.2">
      <c r="A134" t="s">
        <v>121</v>
      </c>
      <c r="B134">
        <v>68</v>
      </c>
      <c r="C134">
        <v>1770</v>
      </c>
      <c r="D134">
        <v>100</v>
      </c>
      <c r="E134" t="s">
        <v>6</v>
      </c>
      <c r="F134">
        <f>IFERROR(VLOOKUP($A134,[1]data!$A$2:$G$51,2,FALSE),"nodata")</f>
        <v>406318</v>
      </c>
      <c r="G134">
        <f>IFERROR(VLOOKUP($A134,[1]data!$A$2:$G$51,3,FALSE),"nodata")</f>
        <v>15127</v>
      </c>
      <c r="H134">
        <f>IFERROR(VLOOKUP($A134,[1]data!$A$2:$G$51,4,FALSE),"nodata")</f>
        <v>15155</v>
      </c>
      <c r="I134">
        <f>IFERROR(VLOOKUP($A134,[1]data!$A$2:$G$51,5,FALSE),"nodata")</f>
        <v>11297</v>
      </c>
      <c r="J134">
        <f>IFERROR(VLOOKUP($A134,[1]data!$A$2:$G$51,6,FALSE),"nodata")</f>
        <v>41579</v>
      </c>
      <c r="K134">
        <f>IFERROR(VLOOKUP($A134,[1]data!$A$2:$G$51,7,FALSE),"nodata")</f>
        <v>0.10233117902726437</v>
      </c>
      <c r="L134">
        <v>35739580</v>
      </c>
      <c r="M134">
        <f>IFERROR(J134/L134,"nodata")</f>
        <v>1.1633880420530963E-3</v>
      </c>
    </row>
    <row r="135" spans="1:15" x14ac:dyDescent="0.2">
      <c r="A135" t="s">
        <v>88</v>
      </c>
      <c r="B135">
        <v>67</v>
      </c>
      <c r="C135">
        <v>232</v>
      </c>
      <c r="D135">
        <v>98</v>
      </c>
      <c r="E135" t="s">
        <v>6</v>
      </c>
      <c r="F135" t="str">
        <f>IFERROR(VLOOKUP($A135,[1]data!$A$2:$G$51,2,FALSE),"nodata")</f>
        <v>nodata</v>
      </c>
      <c r="G135" t="str">
        <f>IFERROR(VLOOKUP($A135,[1]data!$A$2:$G$51,3,FALSE),"nodata")</f>
        <v>nodata</v>
      </c>
      <c r="H135" t="str">
        <f>IFERROR(VLOOKUP($A135,[1]data!$A$2:$G$51,4,FALSE),"nodata")</f>
        <v>nodata</v>
      </c>
      <c r="I135" t="str">
        <f>IFERROR(VLOOKUP($A135,[1]data!$A$2:$G$51,5,FALSE),"nodata")</f>
        <v>nodata</v>
      </c>
      <c r="J135" t="str">
        <f>IFERROR(VLOOKUP($A135,[1]data!$A$2:$G$51,6,FALSE),"nodata")</f>
        <v>nodata</v>
      </c>
      <c r="K135" t="str">
        <f>IFERROR(VLOOKUP($A135,[1]data!$A$2:$G$51,7,FALSE),"nodata")</f>
        <v>nodata</v>
      </c>
      <c r="L135">
        <v>2890299</v>
      </c>
      <c r="M135" t="str">
        <f>IFERROR(J135/L135,"nodata")</f>
        <v>nodata</v>
      </c>
    </row>
    <row r="136" spans="1:15" x14ac:dyDescent="0.2">
      <c r="A136" t="s">
        <v>132</v>
      </c>
      <c r="B136">
        <v>66</v>
      </c>
      <c r="C136">
        <v>81</v>
      </c>
      <c r="D136">
        <v>100</v>
      </c>
      <c r="E136" t="s">
        <v>6</v>
      </c>
      <c r="F136" t="str">
        <f>IFERROR(VLOOKUP($A136,[1]data!$A$2:$G$51,2,FALSE),"nodata")</f>
        <v>nodata</v>
      </c>
      <c r="G136" t="str">
        <f>IFERROR(VLOOKUP($A136,[1]data!$A$2:$G$51,3,FALSE),"nodata")</f>
        <v>nodata</v>
      </c>
      <c r="H136" t="str">
        <f>IFERROR(VLOOKUP($A136,[1]data!$A$2:$G$51,4,FALSE),"nodata")</f>
        <v>nodata</v>
      </c>
      <c r="I136" t="str">
        <f>IFERROR(VLOOKUP($A136,[1]data!$A$2:$G$51,5,FALSE),"nodata")</f>
        <v>nodata</v>
      </c>
      <c r="J136" t="str">
        <f>IFERROR(VLOOKUP($A136,[1]data!$A$2:$G$51,6,FALSE),"nodata")</f>
        <v>nodata</v>
      </c>
      <c r="K136" t="str">
        <f>IFERROR(VLOOKUP($A136,[1]data!$A$2:$G$51,7,FALSE),"nodata")</f>
        <v>nodata</v>
      </c>
      <c r="L136">
        <v>4636262</v>
      </c>
      <c r="M136" t="str">
        <f>IFERROR(J136/L136,"nodata")</f>
        <v>nodata</v>
      </c>
    </row>
    <row r="137" spans="1:15" x14ac:dyDescent="0.2">
      <c r="A137" t="s">
        <v>16</v>
      </c>
      <c r="B137">
        <v>65</v>
      </c>
      <c r="C137">
        <v>150</v>
      </c>
      <c r="D137">
        <v>100</v>
      </c>
      <c r="E137" t="s">
        <v>6</v>
      </c>
      <c r="F137" t="str">
        <f>IFERROR(VLOOKUP($A137,[1]data!$A$2:$G$51,2,FALSE),"nodata")</f>
        <v>nodata</v>
      </c>
      <c r="G137" t="str">
        <f>IFERROR(VLOOKUP($A137,[1]data!$A$2:$G$51,3,FALSE),"nodata")</f>
        <v>nodata</v>
      </c>
      <c r="H137" t="str">
        <f>IFERROR(VLOOKUP($A137,[1]data!$A$2:$G$51,4,FALSE),"nodata")</f>
        <v>nodata</v>
      </c>
      <c r="I137" t="str">
        <f>IFERROR(VLOOKUP($A137,[1]data!$A$2:$G$51,5,FALSE),"nodata")</f>
        <v>nodata</v>
      </c>
      <c r="J137" t="str">
        <f>IFERROR(VLOOKUP($A137,[1]data!$A$2:$G$51,6,FALSE),"nodata")</f>
        <v>nodata</v>
      </c>
      <c r="K137" t="str">
        <f>IFERROR(VLOOKUP($A137,[1]data!$A$2:$G$51,7,FALSE),"nodata")</f>
        <v>nodata</v>
      </c>
      <c r="L137">
        <v>9862429</v>
      </c>
      <c r="M137" t="str">
        <f>IFERROR(J137/L137,"nodata")</f>
        <v>nodata</v>
      </c>
      <c r="O137" s="8"/>
    </row>
    <row r="138" spans="1:15" x14ac:dyDescent="0.2">
      <c r="A138" t="s">
        <v>119</v>
      </c>
      <c r="B138">
        <v>64</v>
      </c>
      <c r="C138">
        <v>579</v>
      </c>
      <c r="D138">
        <v>82</v>
      </c>
      <c r="E138" t="s">
        <v>6</v>
      </c>
      <c r="F138" t="str">
        <f>IFERROR(VLOOKUP($A138,[1]data!$A$2:$G$51,2,FALSE),"nodata")</f>
        <v>nodata</v>
      </c>
      <c r="G138" t="str">
        <f>IFERROR(VLOOKUP($A138,[1]data!$A$2:$G$51,3,FALSE),"nodata")</f>
        <v>nodata</v>
      </c>
      <c r="H138" t="str">
        <f>IFERROR(VLOOKUP($A138,[1]data!$A$2:$G$51,4,FALSE),"nodata")</f>
        <v>nodata</v>
      </c>
      <c r="I138" t="str">
        <f>IFERROR(VLOOKUP($A138,[1]data!$A$2:$G$51,5,FALSE),"nodata")</f>
        <v>nodata</v>
      </c>
      <c r="J138" t="str">
        <f>IFERROR(VLOOKUP($A138,[1]data!$A$2:$G$51,6,FALSE),"nodata")</f>
        <v>nodata</v>
      </c>
      <c r="K138" t="str">
        <f>IFERROR(VLOOKUP($A138,[1]data!$A$2:$G$51,7,FALSE),"nodata")</f>
        <v>nodata</v>
      </c>
      <c r="L138">
        <v>3075647</v>
      </c>
      <c r="M138" t="str">
        <f>IFERROR(J138/L138,"nodata")</f>
        <v>nodata</v>
      </c>
    </row>
    <row r="139" spans="1:15" x14ac:dyDescent="0.2">
      <c r="A139" t="s">
        <v>18</v>
      </c>
      <c r="B139">
        <v>63</v>
      </c>
      <c r="C139">
        <v>67</v>
      </c>
      <c r="D139">
        <v>100</v>
      </c>
      <c r="E139" t="s">
        <v>6</v>
      </c>
      <c r="F139" t="str">
        <f>IFERROR(VLOOKUP($A139,[1]data!$A$2:$G$51,2,FALSE),"nodata")</f>
        <v>nodata</v>
      </c>
      <c r="G139" t="str">
        <f>IFERROR(VLOOKUP($A139,[1]data!$A$2:$G$51,3,FALSE),"nodata")</f>
        <v>nodata</v>
      </c>
      <c r="H139" t="str">
        <f>IFERROR(VLOOKUP($A139,[1]data!$A$2:$G$51,4,FALSE),"nodata")</f>
        <v>nodata</v>
      </c>
      <c r="I139" t="str">
        <f>IFERROR(VLOOKUP($A139,[1]data!$A$2:$G$51,5,FALSE),"nodata")</f>
        <v>nodata</v>
      </c>
      <c r="J139" t="str">
        <f>IFERROR(VLOOKUP($A139,[1]data!$A$2:$G$51,6,FALSE),"nodata")</f>
        <v>nodata</v>
      </c>
      <c r="K139" t="str">
        <f>IFERROR(VLOOKUP($A139,[1]data!$A$2:$G$51,7,FALSE),"nodata")</f>
        <v>nodata</v>
      </c>
      <c r="L139">
        <v>1492584</v>
      </c>
      <c r="M139" t="str">
        <f>IFERROR(J139/L139,"nodata")</f>
        <v>nodata</v>
      </c>
    </row>
    <row r="140" spans="1:15" x14ac:dyDescent="0.2">
      <c r="A140" t="s">
        <v>45</v>
      </c>
      <c r="B140">
        <v>62</v>
      </c>
      <c r="C140">
        <v>182</v>
      </c>
      <c r="D140">
        <v>100</v>
      </c>
      <c r="E140" t="s">
        <v>6</v>
      </c>
      <c r="F140" t="str">
        <f>IFERROR(VLOOKUP($A140,[1]data!$A$2:$G$51,2,FALSE),"nodata")</f>
        <v>nodata</v>
      </c>
      <c r="G140" t="str">
        <f>IFERROR(VLOOKUP($A140,[1]data!$A$2:$G$51,3,FALSE),"nodata")</f>
        <v>nodata</v>
      </c>
      <c r="H140" t="str">
        <f>IFERROR(VLOOKUP($A140,[1]data!$A$2:$G$51,4,FALSE),"nodata")</f>
        <v>nodata</v>
      </c>
      <c r="I140" t="str">
        <f>IFERROR(VLOOKUP($A140,[1]data!$A$2:$G$51,5,FALSE),"nodata")</f>
        <v>nodata</v>
      </c>
      <c r="J140" t="str">
        <f>IFERROR(VLOOKUP($A140,[1]data!$A$2:$G$51,6,FALSE),"nodata")</f>
        <v>nodata</v>
      </c>
      <c r="K140" t="str">
        <f>IFERROR(VLOOKUP($A140,[1]data!$A$2:$G$51,7,FALSE),"nodata")</f>
        <v>nodata</v>
      </c>
      <c r="L140">
        <v>4905769</v>
      </c>
      <c r="M140" t="str">
        <f>IFERROR(J140/L140,"nodata")</f>
        <v>nodata</v>
      </c>
    </row>
    <row r="141" spans="1:15" x14ac:dyDescent="0.2">
      <c r="A141" t="s">
        <v>70</v>
      </c>
      <c r="B141">
        <v>61</v>
      </c>
      <c r="C141">
        <v>70</v>
      </c>
      <c r="D141">
        <v>100</v>
      </c>
      <c r="E141" t="s">
        <v>6</v>
      </c>
      <c r="F141" t="str">
        <f>IFERROR(VLOOKUP($A141,[1]data!$A$2:$G$51,2,FALSE),"nodata")</f>
        <v>nodata</v>
      </c>
      <c r="G141" t="str">
        <f>IFERROR(VLOOKUP($A141,[1]data!$A$2:$G$51,3,FALSE),"nodata")</f>
        <v>nodata</v>
      </c>
      <c r="H141" t="str">
        <f>IFERROR(VLOOKUP($A141,[1]data!$A$2:$G$51,4,FALSE),"nodata")</f>
        <v>nodata</v>
      </c>
      <c r="I141" t="str">
        <f>IFERROR(VLOOKUP($A141,[1]data!$A$2:$G$51,5,FALSE),"nodata")</f>
        <v>nodata</v>
      </c>
      <c r="J141" t="str">
        <f>IFERROR(VLOOKUP($A141,[1]data!$A$2:$G$51,6,FALSE),"nodata")</f>
        <v>nodata</v>
      </c>
      <c r="K141" t="str">
        <f>IFERROR(VLOOKUP($A141,[1]data!$A$2:$G$51,7,FALSE),"nodata")</f>
        <v>nodata</v>
      </c>
      <c r="L141">
        <v>10760421</v>
      </c>
      <c r="M141" t="str">
        <f>IFERROR(J141/L141,"nodata")</f>
        <v>nodata</v>
      </c>
    </row>
    <row r="142" spans="1:15" x14ac:dyDescent="0.2">
      <c r="A142" t="s">
        <v>95</v>
      </c>
      <c r="B142">
        <v>60</v>
      </c>
      <c r="C142">
        <v>225</v>
      </c>
      <c r="D142">
        <v>100</v>
      </c>
      <c r="E142" t="s">
        <v>6</v>
      </c>
      <c r="F142" t="str">
        <f>IFERROR(VLOOKUP($A142,[1]data!$A$2:$G$51,2,FALSE),"nodata")</f>
        <v>nodata</v>
      </c>
      <c r="G142" t="str">
        <f>IFERROR(VLOOKUP($A142,[1]data!$A$2:$G$51,3,FALSE),"nodata")</f>
        <v>nodata</v>
      </c>
      <c r="H142" t="str">
        <f>IFERROR(VLOOKUP($A142,[1]data!$A$2:$G$51,4,FALSE),"nodata")</f>
        <v>nodata</v>
      </c>
      <c r="I142" t="str">
        <f>IFERROR(VLOOKUP($A142,[1]data!$A$2:$G$51,5,FALSE),"nodata")</f>
        <v>nodata</v>
      </c>
      <c r="J142" t="str">
        <f>IFERROR(VLOOKUP($A142,[1]data!$A$2:$G$51,6,FALSE),"nodata")</f>
        <v>nodata</v>
      </c>
      <c r="K142" t="str">
        <f>IFERROR(VLOOKUP($A142,[1]data!$A$2:$G$51,7,FALSE),"nodata")</f>
        <v>nodata</v>
      </c>
      <c r="L142">
        <v>1830700</v>
      </c>
      <c r="M142" t="str">
        <f>IFERROR(J142/L142,"nodata")</f>
        <v>nodata</v>
      </c>
    </row>
    <row r="143" spans="1:15" x14ac:dyDescent="0.2">
      <c r="A143" t="s">
        <v>105</v>
      </c>
      <c r="B143">
        <v>59</v>
      </c>
      <c r="C143">
        <v>36</v>
      </c>
      <c r="D143">
        <v>100</v>
      </c>
      <c r="E143" t="s">
        <v>6</v>
      </c>
      <c r="F143" t="str">
        <f>IFERROR(VLOOKUP($A143,[1]data!$A$2:$G$51,2,FALSE),"nodata")</f>
        <v>nodata</v>
      </c>
      <c r="G143" t="str">
        <f>IFERROR(VLOOKUP($A143,[1]data!$A$2:$G$51,3,FALSE),"nodata")</f>
        <v>nodata</v>
      </c>
      <c r="H143" t="str">
        <f>IFERROR(VLOOKUP($A143,[1]data!$A$2:$G$51,4,FALSE),"nodata")</f>
        <v>nodata</v>
      </c>
      <c r="I143" t="str">
        <f>IFERROR(VLOOKUP($A143,[1]data!$A$2:$G$51,5,FALSE),"nodata")</f>
        <v>nodata</v>
      </c>
      <c r="J143" t="str">
        <f>IFERROR(VLOOKUP($A143,[1]data!$A$2:$G$51,6,FALSE),"nodata")</f>
        <v>nodata</v>
      </c>
      <c r="K143" t="str">
        <f>IFERROR(VLOOKUP($A143,[1]data!$A$2:$G$51,7,FALSE),"nodata")</f>
        <v>nodata</v>
      </c>
      <c r="L143">
        <v>599449</v>
      </c>
      <c r="M143" t="str">
        <f>IFERROR(J143/L143,"nodata")</f>
        <v>nodata</v>
      </c>
    </row>
    <row r="144" spans="1:15" x14ac:dyDescent="0.2">
      <c r="A144" t="s">
        <v>7</v>
      </c>
      <c r="B144">
        <v>58</v>
      </c>
      <c r="C144">
        <v>516</v>
      </c>
      <c r="D144">
        <v>100</v>
      </c>
      <c r="E144" t="s">
        <v>6</v>
      </c>
      <c r="F144" t="str">
        <f>IFERROR(VLOOKUP($A144,[1]data!$A$2:$G$51,2,FALSE),"nodata")</f>
        <v>nodata</v>
      </c>
      <c r="G144" t="str">
        <f>IFERROR(VLOOKUP($A144,[1]data!$A$2:$G$51,3,FALSE),"nodata")</f>
        <v>nodata</v>
      </c>
      <c r="H144" t="str">
        <f>IFERROR(VLOOKUP($A144,[1]data!$A$2:$G$51,4,FALSE),"nodata")</f>
        <v>nodata</v>
      </c>
      <c r="I144" t="str">
        <f>IFERROR(VLOOKUP($A144,[1]data!$A$2:$G$51,5,FALSE),"nodata")</f>
        <v>nodata</v>
      </c>
      <c r="J144" t="str">
        <f>IFERROR(VLOOKUP($A144,[1]data!$A$2:$G$51,6,FALSE),"nodata")</f>
        <v>nodata</v>
      </c>
      <c r="K144" t="str">
        <f>IFERROR(VLOOKUP($A144,[1]data!$A$2:$G$51,7,FALSE),"nodata")</f>
        <v>nodata</v>
      </c>
      <c r="L144">
        <v>2873457</v>
      </c>
      <c r="M144" t="str">
        <f>IFERROR(J144/L144,"nodata")</f>
        <v>nodata</v>
      </c>
    </row>
    <row r="145" spans="1:15" x14ac:dyDescent="0.2">
      <c r="A145" t="s">
        <v>39</v>
      </c>
      <c r="B145">
        <v>57</v>
      </c>
      <c r="C145">
        <v>71</v>
      </c>
      <c r="D145">
        <v>100</v>
      </c>
      <c r="E145" t="s">
        <v>6</v>
      </c>
      <c r="F145" t="str">
        <f>IFERROR(VLOOKUP($A145,[1]data!$A$2:$G$51,2,FALSE),"nodata")</f>
        <v>nodata</v>
      </c>
      <c r="G145" t="str">
        <f>IFERROR(VLOOKUP($A145,[1]data!$A$2:$G$51,3,FALSE),"nodata")</f>
        <v>nodata</v>
      </c>
      <c r="H145" t="str">
        <f>IFERROR(VLOOKUP($A145,[1]data!$A$2:$G$51,4,FALSE),"nodata")</f>
        <v>nodata</v>
      </c>
      <c r="I145" t="str">
        <f>IFERROR(VLOOKUP($A145,[1]data!$A$2:$G$51,5,FALSE),"nodata")</f>
        <v>nodata</v>
      </c>
      <c r="J145" t="str">
        <f>IFERROR(VLOOKUP($A145,[1]data!$A$2:$G$51,6,FALSE),"nodata")</f>
        <v>nodata</v>
      </c>
      <c r="K145" t="str">
        <f>IFERROR(VLOOKUP($A145,[1]data!$A$2:$G$51,7,FALSE),"nodata")</f>
        <v>nodata</v>
      </c>
      <c r="L145">
        <v>18054726</v>
      </c>
      <c r="M145" t="str">
        <f>IFERROR(J145/L145,"nodata")</f>
        <v>nodata</v>
      </c>
    </row>
    <row r="146" spans="1:15" x14ac:dyDescent="0.2">
      <c r="A146" t="s">
        <v>146</v>
      </c>
      <c r="B146">
        <v>56</v>
      </c>
      <c r="C146">
        <v>2723</v>
      </c>
      <c r="D146">
        <v>29</v>
      </c>
      <c r="E146" t="s">
        <v>10</v>
      </c>
      <c r="F146">
        <f>IFERROR(VLOOKUP($A146,[1]data!$A$2:$G$51,2,FALSE),"nodata")</f>
        <v>25206</v>
      </c>
      <c r="G146">
        <f>IFERROR(VLOOKUP($A146,[1]data!$A$2:$G$51,3,FALSE),"nodata")</f>
        <v>789</v>
      </c>
      <c r="H146">
        <f>IFERROR(VLOOKUP($A146,[1]data!$A$2:$G$51,4,FALSE),"nodata")</f>
        <v>892</v>
      </c>
      <c r="I146">
        <f>IFERROR(VLOOKUP($A146,[1]data!$A$2:$G$51,5,FALSE),"nodata")</f>
        <v>0</v>
      </c>
      <c r="J146">
        <f>IFERROR(VLOOKUP($A146,[1]data!$A$2:$G$51,6,FALSE),"nodata")</f>
        <v>1681</v>
      </c>
      <c r="K146">
        <f>IFERROR(VLOOKUP($A146,[1]data!$A$2:$G$51,7,FALSE),"nodata")</f>
        <v>6.6690470522891371E-2</v>
      </c>
      <c r="L146">
        <v>12208407</v>
      </c>
      <c r="M146">
        <f>IFERROR(J146/L146,"nodata")</f>
        <v>1.3769200191310791E-4</v>
      </c>
    </row>
    <row r="147" spans="1:15" x14ac:dyDescent="0.2">
      <c r="A147" t="s">
        <v>142</v>
      </c>
      <c r="B147">
        <v>55</v>
      </c>
      <c r="C147">
        <v>354</v>
      </c>
      <c r="D147">
        <v>100</v>
      </c>
      <c r="E147" t="s">
        <v>6</v>
      </c>
      <c r="F147" t="str">
        <f>IFERROR(VLOOKUP($A147,[1]data!$A$2:$G$51,2,FALSE),"nodata")</f>
        <v>nodata</v>
      </c>
      <c r="G147" t="str">
        <f>IFERROR(VLOOKUP($A147,[1]data!$A$2:$G$51,3,FALSE),"nodata")</f>
        <v>nodata</v>
      </c>
      <c r="H147" t="str">
        <f>IFERROR(VLOOKUP($A147,[1]data!$A$2:$G$51,4,FALSE),"nodata")</f>
        <v>nodata</v>
      </c>
      <c r="I147" t="str">
        <f>IFERROR(VLOOKUP($A147,[1]data!$A$2:$G$51,5,FALSE),"nodata")</f>
        <v>nodata</v>
      </c>
      <c r="J147" t="str">
        <f>IFERROR(VLOOKUP($A147,[1]data!$A$2:$G$51,6,FALSE),"nodata")</f>
        <v>nodata</v>
      </c>
      <c r="K147" t="str">
        <f>IFERROR(VLOOKUP($A147,[1]data!$A$2:$G$51,7,FALSE),"nodata")</f>
        <v>nodata</v>
      </c>
      <c r="L147">
        <v>3337177</v>
      </c>
      <c r="M147" t="str">
        <f>IFERROR(J147/L147,"nodata")</f>
        <v>nodata</v>
      </c>
    </row>
    <row r="148" spans="1:15" x14ac:dyDescent="0.2">
      <c r="A148" t="s">
        <v>138</v>
      </c>
      <c r="B148">
        <v>54</v>
      </c>
      <c r="C148">
        <v>336</v>
      </c>
      <c r="D148">
        <v>95</v>
      </c>
      <c r="E148" t="s">
        <v>6</v>
      </c>
      <c r="F148" t="str">
        <f>IFERROR(VLOOKUP($A148,[1]data!$A$2:$G$51,2,FALSE),"nodata")</f>
        <v>nodata</v>
      </c>
      <c r="G148" t="str">
        <f>IFERROR(VLOOKUP($A148,[1]data!$A$2:$G$51,3,FALSE),"nodata")</f>
        <v>nodata</v>
      </c>
      <c r="H148" t="str">
        <f>IFERROR(VLOOKUP($A148,[1]data!$A$2:$G$51,4,FALSE),"nodata")</f>
        <v>nodata</v>
      </c>
      <c r="I148" t="str">
        <f>IFERROR(VLOOKUP($A148,[1]data!$A$2:$G$51,5,FALSE),"nodata")</f>
        <v>nodata</v>
      </c>
      <c r="J148" t="str">
        <f>IFERROR(VLOOKUP($A148,[1]data!$A$2:$G$51,6,FALSE),"nodata")</f>
        <v>nodata</v>
      </c>
      <c r="K148" t="str">
        <f>IFERROR(VLOOKUP($A148,[1]data!$A$2:$G$51,7,FALSE),"nodata")</f>
        <v>nodata</v>
      </c>
      <c r="L148">
        <v>32165485</v>
      </c>
      <c r="M148" t="str">
        <f>IFERROR(J148/L148,"nodata")</f>
        <v>nodata</v>
      </c>
      <c r="O148" s="5"/>
    </row>
    <row r="149" spans="1:15" x14ac:dyDescent="0.2">
      <c r="A149" t="s">
        <v>41</v>
      </c>
      <c r="B149">
        <v>53</v>
      </c>
      <c r="C149">
        <v>581</v>
      </c>
      <c r="D149">
        <v>99</v>
      </c>
      <c r="E149" t="s">
        <v>6</v>
      </c>
      <c r="F149" t="str">
        <f>IFERROR(VLOOKUP($A149,[1]data!$A$2:$G$51,2,FALSE),"nodata")</f>
        <v>nodata</v>
      </c>
      <c r="G149" t="str">
        <f>IFERROR(VLOOKUP($A149,[1]data!$A$2:$G$51,3,FALSE),"nodata")</f>
        <v>nodata</v>
      </c>
      <c r="H149" t="str">
        <f>IFERROR(VLOOKUP($A149,[1]data!$A$2:$G$51,4,FALSE),"nodata")</f>
        <v>nodata</v>
      </c>
      <c r="I149" t="str">
        <f>IFERROR(VLOOKUP($A149,[1]data!$A$2:$G$51,5,FALSE),"nodata")</f>
        <v>nodata</v>
      </c>
      <c r="J149" t="str">
        <f>IFERROR(VLOOKUP($A149,[1]data!$A$2:$G$51,6,FALSE),"nodata")</f>
        <v>nodata</v>
      </c>
      <c r="K149" t="str">
        <f>IFERROR(VLOOKUP($A149,[1]data!$A$2:$G$51,7,FALSE),"nodata")</f>
        <v>nodata</v>
      </c>
      <c r="L149">
        <v>49065615</v>
      </c>
      <c r="M149" t="str">
        <f>IFERROR(J149/L149,"nodata")</f>
        <v>nodata</v>
      </c>
    </row>
    <row r="150" spans="1:15" x14ac:dyDescent="0.2">
      <c r="A150" t="s">
        <v>86</v>
      </c>
      <c r="B150">
        <v>52</v>
      </c>
      <c r="C150">
        <v>15</v>
      </c>
      <c r="D150">
        <v>100</v>
      </c>
      <c r="E150" t="s">
        <v>6</v>
      </c>
      <c r="F150" t="str">
        <f>IFERROR(VLOOKUP($A150,[1]data!$A$2:$G$51,2,FALSE),"nodata")</f>
        <v>nodata</v>
      </c>
      <c r="G150" t="str">
        <f>IFERROR(VLOOKUP($A150,[1]data!$A$2:$G$51,3,FALSE),"nodata")</f>
        <v>nodata</v>
      </c>
      <c r="H150" t="str">
        <f>IFERROR(VLOOKUP($A150,[1]data!$A$2:$G$51,4,FALSE),"nodata")</f>
        <v>nodata</v>
      </c>
      <c r="I150" t="str">
        <f>IFERROR(VLOOKUP($A150,[1]data!$A$2:$G$51,5,FALSE),"nodata")</f>
        <v>nodata</v>
      </c>
      <c r="J150" t="str">
        <f>IFERROR(VLOOKUP($A150,[1]data!$A$2:$G$51,6,FALSE),"nodata")</f>
        <v>nodata</v>
      </c>
      <c r="K150" t="str">
        <f>IFERROR(VLOOKUP($A150,[1]data!$A$2:$G$51,7,FALSE),"nodata")</f>
        <v>nodata</v>
      </c>
      <c r="L150">
        <v>8712400</v>
      </c>
      <c r="M150" t="str">
        <f>IFERROR(J150/L150,"nodata")</f>
        <v>nodata</v>
      </c>
    </row>
    <row r="151" spans="1:15" x14ac:dyDescent="0.2">
      <c r="A151" t="s">
        <v>120</v>
      </c>
      <c r="B151">
        <v>51</v>
      </c>
      <c r="C151">
        <v>441</v>
      </c>
      <c r="D151">
        <v>100</v>
      </c>
      <c r="E151" t="s">
        <v>6</v>
      </c>
      <c r="F151" t="str">
        <f>IFERROR(VLOOKUP($A151,[1]data!$A$2:$G$51,2,FALSE),"nodata")</f>
        <v>nodata</v>
      </c>
      <c r="G151" t="str">
        <f>IFERROR(VLOOKUP($A151,[1]data!$A$2:$G$51,3,FALSE),"nodata")</f>
        <v>nodata</v>
      </c>
      <c r="H151" t="str">
        <f>IFERROR(VLOOKUP($A151,[1]data!$A$2:$G$51,4,FALSE),"nodata")</f>
        <v>nodata</v>
      </c>
      <c r="I151" t="str">
        <f>IFERROR(VLOOKUP($A151,[1]data!$A$2:$G$51,5,FALSE),"nodata")</f>
        <v>nodata</v>
      </c>
      <c r="J151" t="str">
        <f>IFERROR(VLOOKUP($A151,[1]data!$A$2:$G$51,6,FALSE),"nodata")</f>
        <v>nodata</v>
      </c>
      <c r="K151" t="str">
        <f>IFERROR(VLOOKUP($A151,[1]data!$A$2:$G$51,7,FALSE),"nodata")</f>
        <v>nodata</v>
      </c>
      <c r="L151">
        <v>622471</v>
      </c>
      <c r="M151" t="str">
        <f>IFERROR(J151/L151,"nodata")</f>
        <v>nodata</v>
      </c>
    </row>
    <row r="152" spans="1:15" x14ac:dyDescent="0.2">
      <c r="A152" t="s">
        <v>87</v>
      </c>
      <c r="B152">
        <v>50</v>
      </c>
      <c r="C152">
        <v>158</v>
      </c>
      <c r="D152">
        <v>100</v>
      </c>
      <c r="E152" t="s">
        <v>6</v>
      </c>
      <c r="F152" t="str">
        <f>IFERROR(VLOOKUP($A152,[1]data!$A$2:$G$51,2,FALSE),"nodata")</f>
        <v>nodata</v>
      </c>
      <c r="G152" t="str">
        <f>IFERROR(VLOOKUP($A152,[1]data!$A$2:$G$51,3,FALSE),"nodata")</f>
        <v>nodata</v>
      </c>
      <c r="H152" t="str">
        <f>IFERROR(VLOOKUP($A152,[1]data!$A$2:$G$51,4,FALSE),"nodata")</f>
        <v>nodata</v>
      </c>
      <c r="I152" t="str">
        <f>IFERROR(VLOOKUP($A152,[1]data!$A$2:$G$51,5,FALSE),"nodata")</f>
        <v>nodata</v>
      </c>
      <c r="J152" t="str">
        <f>IFERROR(VLOOKUP($A152,[1]data!$A$2:$G$51,6,FALSE),"nodata")</f>
        <v>nodata</v>
      </c>
      <c r="K152" t="str">
        <f>IFERROR(VLOOKUP($A152,[1]data!$A$2:$G$51,7,FALSE),"nodata")</f>
        <v>nodata</v>
      </c>
      <c r="L152">
        <v>60551416</v>
      </c>
      <c r="M152" t="str">
        <f>IFERROR(J152/L152,"nodata")</f>
        <v>nodata</v>
      </c>
    </row>
    <row r="153" spans="1:15" x14ac:dyDescent="0.2">
      <c r="A153" t="s">
        <v>115</v>
      </c>
      <c r="B153">
        <v>49</v>
      </c>
      <c r="C153">
        <v>248</v>
      </c>
      <c r="D153">
        <v>99</v>
      </c>
      <c r="E153" t="s">
        <v>10</v>
      </c>
      <c r="F153" t="str">
        <f>IFERROR(VLOOKUP($A153,[1]data!$A$2:$G$51,2,FALSE),"nodata")</f>
        <v>nodata</v>
      </c>
      <c r="G153" t="str">
        <f>IFERROR(VLOOKUP($A153,[1]data!$A$2:$G$51,3,FALSE),"nodata")</f>
        <v>nodata</v>
      </c>
      <c r="H153" t="str">
        <f>IFERROR(VLOOKUP($A153,[1]data!$A$2:$G$51,4,FALSE),"nodata")</f>
        <v>nodata</v>
      </c>
      <c r="I153" t="str">
        <f>IFERROR(VLOOKUP($A153,[1]data!$A$2:$G$51,5,FALSE),"nodata")</f>
        <v>nodata</v>
      </c>
      <c r="J153" t="str">
        <f>IFERROR(VLOOKUP($A153,[1]data!$A$2:$G$51,6,FALSE),"nodata")</f>
        <v>nodata</v>
      </c>
      <c r="K153" t="str">
        <f>IFERROR(VLOOKUP($A153,[1]data!$A$2:$G$51,7,FALSE),"nodata")</f>
        <v>nodata</v>
      </c>
      <c r="L153">
        <v>1264613</v>
      </c>
      <c r="M153" t="str">
        <f>IFERROR(J153/L153,"nodata")</f>
        <v>nodata</v>
      </c>
    </row>
    <row r="154" spans="1:15" x14ac:dyDescent="0.2">
      <c r="A154" t="s">
        <v>116</v>
      </c>
      <c r="B154">
        <v>47</v>
      </c>
      <c r="C154">
        <v>337</v>
      </c>
      <c r="D154">
        <v>100</v>
      </c>
      <c r="E154" t="s">
        <v>6</v>
      </c>
      <c r="F154" t="str">
        <f>IFERROR(VLOOKUP($A154,[1]data!$A$2:$G$51,2,FALSE),"nodata")</f>
        <v>nodata</v>
      </c>
      <c r="G154" t="str">
        <f>IFERROR(VLOOKUP($A154,[1]data!$A$2:$G$51,3,FALSE),"nodata")</f>
        <v>nodata</v>
      </c>
      <c r="H154" t="str">
        <f>IFERROR(VLOOKUP($A154,[1]data!$A$2:$G$51,4,FALSE),"nodata")</f>
        <v>nodata</v>
      </c>
      <c r="I154" t="str">
        <f>IFERROR(VLOOKUP($A154,[1]data!$A$2:$G$51,5,FALSE),"nodata")</f>
        <v>nodata</v>
      </c>
      <c r="J154" t="str">
        <f>IFERROR(VLOOKUP($A154,[1]data!$A$2:$G$51,6,FALSE),"nodata")</f>
        <v>nodata</v>
      </c>
      <c r="K154" t="str">
        <f>IFERROR(VLOOKUP($A154,[1]data!$A$2:$G$51,7,FALSE),"nodata")</f>
        <v>nodata</v>
      </c>
      <c r="L154">
        <v>129163276</v>
      </c>
      <c r="M154" t="str">
        <f>IFERROR(J154/L154,"nodata")</f>
        <v>nodata</v>
      </c>
    </row>
    <row r="155" spans="1:15" x14ac:dyDescent="0.2">
      <c r="A155" t="s">
        <v>152</v>
      </c>
      <c r="B155">
        <v>47</v>
      </c>
      <c r="C155">
        <v>236</v>
      </c>
      <c r="D155">
        <v>100</v>
      </c>
      <c r="E155" t="s">
        <v>6</v>
      </c>
      <c r="F155" t="str">
        <f>IFERROR(VLOOKUP($A155,[1]data!$A$2:$G$51,2,FALSE),"nodata")</f>
        <v>nodata</v>
      </c>
      <c r="G155" t="str">
        <f>IFERROR(VLOOKUP($A155,[1]data!$A$2:$G$51,3,FALSE),"nodata")</f>
        <v>nodata</v>
      </c>
      <c r="H155" t="str">
        <f>IFERROR(VLOOKUP($A155,[1]data!$A$2:$G$51,4,FALSE),"nodata")</f>
        <v>nodata</v>
      </c>
      <c r="I155" t="str">
        <f>IFERROR(VLOOKUP($A155,[1]data!$A$2:$G$51,5,FALSE),"nodata")</f>
        <v>nodata</v>
      </c>
      <c r="J155" t="str">
        <f>IFERROR(VLOOKUP($A155,[1]data!$A$2:$G$51,6,FALSE),"nodata")</f>
        <v>nodata</v>
      </c>
      <c r="K155" t="str">
        <f>IFERROR(VLOOKUP($A155,[1]data!$A$2:$G$51,7,FALSE),"nodata")</f>
        <v>nodata</v>
      </c>
      <c r="L155">
        <v>7022268</v>
      </c>
      <c r="M155" t="str">
        <f>IFERROR(J155/L155,"nodata")</f>
        <v>nodata</v>
      </c>
    </row>
    <row r="156" spans="1:15" x14ac:dyDescent="0.2">
      <c r="A156" t="s">
        <v>174</v>
      </c>
      <c r="B156">
        <v>46</v>
      </c>
      <c r="C156">
        <v>43</v>
      </c>
      <c r="D156">
        <v>100</v>
      </c>
      <c r="E156" t="s">
        <v>6</v>
      </c>
      <c r="F156" t="str">
        <f>IFERROR(VLOOKUP($A156,[1]data!$A$2:$G$51,2,FALSE),"nodata")</f>
        <v>nodata</v>
      </c>
      <c r="G156" t="str">
        <f>IFERROR(VLOOKUP($A156,[1]data!$A$2:$G$51,3,FALSE),"nodata")</f>
        <v>nodata</v>
      </c>
      <c r="H156" t="str">
        <f>IFERROR(VLOOKUP($A156,[1]data!$A$2:$G$51,4,FALSE),"nodata")</f>
        <v>nodata</v>
      </c>
      <c r="I156" t="str">
        <f>IFERROR(VLOOKUP($A156,[1]data!$A$2:$G$51,5,FALSE),"nodata")</f>
        <v>nodata</v>
      </c>
      <c r="J156" t="str">
        <f>IFERROR(VLOOKUP($A156,[1]data!$A$2:$G$51,6,FALSE),"nodata")</f>
        <v>nodata</v>
      </c>
      <c r="K156" t="str">
        <f>IFERROR(VLOOKUP($A156,[1]data!$A$2:$G$51,7,FALSE),"nodata")</f>
        <v>nodata</v>
      </c>
      <c r="L156">
        <v>69037513</v>
      </c>
      <c r="M156" t="str">
        <f>IFERROR(J156/L156,"nodata")</f>
        <v>nodata</v>
      </c>
    </row>
    <row r="157" spans="1:15" x14ac:dyDescent="0.2">
      <c r="A157" t="s">
        <v>48</v>
      </c>
      <c r="B157">
        <v>45</v>
      </c>
      <c r="C157">
        <v>130</v>
      </c>
      <c r="D157">
        <v>100</v>
      </c>
      <c r="E157" t="s">
        <v>6</v>
      </c>
      <c r="F157" t="str">
        <f>IFERROR(VLOOKUP($A157,[1]data!$A$2:$G$51,2,FALSE),"nodata")</f>
        <v>nodata</v>
      </c>
      <c r="G157" t="str">
        <f>IFERROR(VLOOKUP($A157,[1]data!$A$2:$G$51,3,FALSE),"nodata")</f>
        <v>nodata</v>
      </c>
      <c r="H157" t="str">
        <f>IFERROR(VLOOKUP($A157,[1]data!$A$2:$G$51,4,FALSE),"nodata")</f>
        <v>nodata</v>
      </c>
      <c r="I157" t="str">
        <f>IFERROR(VLOOKUP($A157,[1]data!$A$2:$G$51,5,FALSE),"nodata")</f>
        <v>nodata</v>
      </c>
      <c r="J157" t="str">
        <f>IFERROR(VLOOKUP($A157,[1]data!$A$2:$G$51,6,FALSE),"nodata")</f>
        <v>nodata</v>
      </c>
      <c r="K157" t="str">
        <f>IFERROR(VLOOKUP($A157,[1]data!$A$2:$G$51,7,FALSE),"nodata")</f>
        <v>nodata</v>
      </c>
      <c r="L157">
        <v>1179551</v>
      </c>
      <c r="M157" t="str">
        <f>IFERROR(J157/L157,"nodata")</f>
        <v>nodata</v>
      </c>
    </row>
    <row r="158" spans="1:15" x14ac:dyDescent="0.2">
      <c r="A158" t="s">
        <v>118</v>
      </c>
      <c r="B158">
        <v>44</v>
      </c>
      <c r="C158">
        <v>738</v>
      </c>
      <c r="D158">
        <v>100</v>
      </c>
      <c r="E158" t="s">
        <v>6</v>
      </c>
      <c r="F158" t="str">
        <f>IFERROR(VLOOKUP($A158,[1]data!$A$2:$G$51,2,FALSE),"nodata")</f>
        <v>nodata</v>
      </c>
      <c r="G158" t="str">
        <f>IFERROR(VLOOKUP($A158,[1]data!$A$2:$G$51,3,FALSE),"nodata")</f>
        <v>nodata</v>
      </c>
      <c r="H158" t="str">
        <f>IFERROR(VLOOKUP($A158,[1]data!$A$2:$G$51,4,FALSE),"nodata")</f>
        <v>nodata</v>
      </c>
      <c r="I158" t="str">
        <f>IFERROR(VLOOKUP($A158,[1]data!$A$2:$G$51,5,FALSE),"nodata")</f>
        <v>nodata</v>
      </c>
      <c r="J158" t="str">
        <f>IFERROR(VLOOKUP($A158,[1]data!$A$2:$G$51,6,FALSE),"nodata")</f>
        <v>nodata</v>
      </c>
      <c r="K158" t="str">
        <f>IFERROR(VLOOKUP($A158,[1]data!$A$2:$G$51,7,FALSE),"nodata")</f>
        <v>nodata</v>
      </c>
      <c r="L158">
        <v>3549750</v>
      </c>
      <c r="M158" t="str">
        <f>IFERROR(J158/L158,"nodata")</f>
        <v>nodata</v>
      </c>
    </row>
    <row r="159" spans="1:15" x14ac:dyDescent="0.2">
      <c r="A159" t="s">
        <v>47</v>
      </c>
      <c r="B159">
        <v>43</v>
      </c>
      <c r="C159">
        <v>303</v>
      </c>
      <c r="D159">
        <v>100</v>
      </c>
      <c r="E159" t="s">
        <v>6</v>
      </c>
      <c r="F159" t="str">
        <f>IFERROR(VLOOKUP($A159,[1]data!$A$2:$G$51,2,FALSE),"nodata")</f>
        <v>nodata</v>
      </c>
      <c r="G159" t="str">
        <f>IFERROR(VLOOKUP($A159,[1]data!$A$2:$G$51,3,FALSE),"nodata")</f>
        <v>nodata</v>
      </c>
      <c r="H159" t="str">
        <f>IFERROR(VLOOKUP($A159,[1]data!$A$2:$G$51,4,FALSE),"nodata")</f>
        <v>nodata</v>
      </c>
      <c r="I159" t="str">
        <f>IFERROR(VLOOKUP($A159,[1]data!$A$2:$G$51,5,FALSE),"nodata")</f>
        <v>nodata</v>
      </c>
      <c r="J159" t="str">
        <f>IFERROR(VLOOKUP($A159,[1]data!$A$2:$G$51,6,FALSE),"nodata")</f>
        <v>nodata</v>
      </c>
      <c r="K159" t="str">
        <f>IFERROR(VLOOKUP($A159,[1]data!$A$2:$G$51,7,FALSE),"nodata")</f>
        <v>nodata</v>
      </c>
      <c r="L159">
        <v>4125700</v>
      </c>
      <c r="M159" t="str">
        <f>IFERROR(J159/L159,"nodata")</f>
        <v>nodata</v>
      </c>
    </row>
    <row r="160" spans="1:15" x14ac:dyDescent="0.2">
      <c r="A160" t="s">
        <v>22</v>
      </c>
      <c r="B160">
        <v>42</v>
      </c>
      <c r="C160">
        <v>102</v>
      </c>
      <c r="D160">
        <v>100</v>
      </c>
      <c r="E160" t="s">
        <v>6</v>
      </c>
      <c r="F160" t="str">
        <f>IFERROR(VLOOKUP($A160,[1]data!$A$2:$G$51,2,FALSE),"nodata")</f>
        <v>nodata</v>
      </c>
      <c r="G160" t="str">
        <f>IFERROR(VLOOKUP($A160,[1]data!$A$2:$G$51,3,FALSE),"nodata")</f>
        <v>nodata</v>
      </c>
      <c r="H160" t="str">
        <f>IFERROR(VLOOKUP($A160,[1]data!$A$2:$G$51,4,FALSE),"nodata")</f>
        <v>nodata</v>
      </c>
      <c r="I160" t="str">
        <f>IFERROR(VLOOKUP($A160,[1]data!$A$2:$G$51,5,FALSE),"nodata")</f>
        <v>nodata</v>
      </c>
      <c r="J160" t="str">
        <f>IFERROR(VLOOKUP($A160,[1]data!$A$2:$G$51,6,FALSE),"nodata")</f>
        <v>nodata</v>
      </c>
      <c r="K160" t="str">
        <f>IFERROR(VLOOKUP($A160,[1]data!$A$2:$G$51,7,FALSE),"nodata")</f>
        <v>nodata</v>
      </c>
      <c r="L160">
        <v>11372068</v>
      </c>
      <c r="M160" t="str">
        <f>IFERROR(J160/L160,"nodata")</f>
        <v>nodata</v>
      </c>
    </row>
    <row r="161" spans="1:14" x14ac:dyDescent="0.2">
      <c r="A161" t="s">
        <v>79</v>
      </c>
      <c r="B161">
        <v>41</v>
      </c>
      <c r="C161">
        <v>94</v>
      </c>
      <c r="D161">
        <v>100</v>
      </c>
      <c r="E161" t="s">
        <v>6</v>
      </c>
      <c r="F161" t="str">
        <f>IFERROR(VLOOKUP($A161,[1]data!$A$2:$G$51,2,FALSE),"nodata")</f>
        <v>nodata</v>
      </c>
      <c r="G161" t="str">
        <f>IFERROR(VLOOKUP($A161,[1]data!$A$2:$G$51,3,FALSE),"nodata")</f>
        <v>nodata</v>
      </c>
      <c r="H161" t="str">
        <f>IFERROR(VLOOKUP($A161,[1]data!$A$2:$G$51,4,FALSE),"nodata")</f>
        <v>nodata</v>
      </c>
      <c r="I161" t="str">
        <f>IFERROR(VLOOKUP($A161,[1]data!$A$2:$G$51,5,FALSE),"nodata")</f>
        <v>nodata</v>
      </c>
      <c r="J161" t="str">
        <f>IFERROR(VLOOKUP($A161,[1]data!$A$2:$G$51,6,FALSE),"nodata")</f>
        <v>nodata</v>
      </c>
      <c r="K161" t="str">
        <f>IFERROR(VLOOKUP($A161,[1]data!$A$2:$G$51,7,FALSE),"nodata")</f>
        <v>nodata</v>
      </c>
      <c r="L161">
        <v>9781127</v>
      </c>
      <c r="M161" t="str">
        <f>IFERROR(J161/L161,"nodata")</f>
        <v>nodata</v>
      </c>
      <c r="N161" s="5"/>
    </row>
    <row r="162" spans="1:14" x14ac:dyDescent="0.2">
      <c r="A162" t="s">
        <v>145</v>
      </c>
      <c r="B162">
        <v>40</v>
      </c>
      <c r="C162">
        <v>44</v>
      </c>
      <c r="D162">
        <v>100</v>
      </c>
      <c r="E162" t="s">
        <v>6</v>
      </c>
      <c r="F162" t="str">
        <f>IFERROR(VLOOKUP($A162,[1]data!$A$2:$G$51,2,FALSE),"nodata")</f>
        <v>nodata</v>
      </c>
      <c r="G162" t="str">
        <f>IFERROR(VLOOKUP($A162,[1]data!$A$2:$G$51,3,FALSE),"nodata")</f>
        <v>nodata</v>
      </c>
      <c r="H162" t="str">
        <f>IFERROR(VLOOKUP($A162,[1]data!$A$2:$G$51,4,FALSE),"nodata")</f>
        <v>nodata</v>
      </c>
      <c r="I162" t="str">
        <f>IFERROR(VLOOKUP($A162,[1]data!$A$2:$G$51,5,FALSE),"nodata")</f>
        <v>nodata</v>
      </c>
      <c r="J162" t="str">
        <f>IFERROR(VLOOKUP($A162,[1]data!$A$2:$G$51,6,FALSE),"nodata")</f>
        <v>nodata</v>
      </c>
      <c r="K162" t="str">
        <f>IFERROR(VLOOKUP($A162,[1]data!$A$2:$G$51,7,FALSE),"nodata")</f>
        <v>nodata</v>
      </c>
      <c r="L162">
        <v>144495044</v>
      </c>
      <c r="M162" t="str">
        <f>IFERROR(J162/L162,"nodata")</f>
        <v>nodata</v>
      </c>
    </row>
    <row r="163" spans="1:14" x14ac:dyDescent="0.2">
      <c r="A163" t="s">
        <v>31</v>
      </c>
      <c r="B163">
        <v>39</v>
      </c>
      <c r="C163">
        <v>374</v>
      </c>
      <c r="D163">
        <v>100</v>
      </c>
      <c r="E163" t="s">
        <v>6</v>
      </c>
      <c r="F163" t="str">
        <f>IFERROR(VLOOKUP($A163,[1]data!$A$2:$G$51,2,FALSE),"nodata")</f>
        <v>nodata</v>
      </c>
      <c r="G163" t="str">
        <f>IFERROR(VLOOKUP($A163,[1]data!$A$2:$G$51,3,FALSE),"nodata")</f>
        <v>nodata</v>
      </c>
      <c r="H163" t="str">
        <f>IFERROR(VLOOKUP($A163,[1]data!$A$2:$G$51,4,FALSE),"nodata")</f>
        <v>nodata</v>
      </c>
      <c r="I163" t="str">
        <f>IFERROR(VLOOKUP($A163,[1]data!$A$2:$G$51,5,FALSE),"nodata")</f>
        <v>nodata</v>
      </c>
      <c r="J163" t="str">
        <f>IFERROR(VLOOKUP($A163,[1]data!$A$2:$G$51,6,FALSE),"nodata")</f>
        <v>nodata</v>
      </c>
      <c r="K163" t="str">
        <f>IFERROR(VLOOKUP($A163,[1]data!$A$2:$G$51,7,FALSE),"nodata")</f>
        <v>nodata</v>
      </c>
      <c r="L163">
        <v>7075991</v>
      </c>
      <c r="M163" t="str">
        <f>IFERROR(J163/L163,"nodata")</f>
        <v>nodata</v>
      </c>
    </row>
    <row r="164" spans="1:14" x14ac:dyDescent="0.2">
      <c r="A164" t="s">
        <v>13</v>
      </c>
      <c r="B164">
        <v>38</v>
      </c>
      <c r="C164">
        <v>80</v>
      </c>
      <c r="D164">
        <v>100</v>
      </c>
      <c r="E164" t="s">
        <v>6</v>
      </c>
      <c r="F164" t="str">
        <f>IFERROR(VLOOKUP($A164,[1]data!$A$2:$G$51,2,FALSE),"nodata")</f>
        <v>nodata</v>
      </c>
      <c r="G164" t="str">
        <f>IFERROR(VLOOKUP($A164,[1]data!$A$2:$G$51,3,FALSE),"nodata")</f>
        <v>nodata</v>
      </c>
      <c r="H164" t="str">
        <f>IFERROR(VLOOKUP($A164,[1]data!$A$2:$G$51,4,FALSE),"nodata")</f>
        <v>nodata</v>
      </c>
      <c r="I164" t="str">
        <f>IFERROR(VLOOKUP($A164,[1]data!$A$2:$G$51,5,FALSE),"nodata")</f>
        <v>nodata</v>
      </c>
      <c r="J164" t="str">
        <f>IFERROR(VLOOKUP($A164,[1]data!$A$2:$G$51,6,FALSE),"nodata")</f>
        <v>nodata</v>
      </c>
      <c r="K164" t="str">
        <f>IFERROR(VLOOKUP($A164,[1]data!$A$2:$G$51,7,FALSE),"nodata")</f>
        <v>nodata</v>
      </c>
      <c r="L164">
        <v>2930450</v>
      </c>
      <c r="M164" t="str">
        <f>IFERROR(J164/L164,"nodata")</f>
        <v>nodata</v>
      </c>
    </row>
    <row r="165" spans="1:14" x14ac:dyDescent="0.2">
      <c r="A165" t="s">
        <v>21</v>
      </c>
      <c r="B165">
        <v>37</v>
      </c>
      <c r="C165">
        <v>119</v>
      </c>
      <c r="D165">
        <v>100</v>
      </c>
      <c r="E165" t="s">
        <v>6</v>
      </c>
      <c r="F165" t="str">
        <f>IFERROR(VLOOKUP($A165,[1]data!$A$2:$G$51,2,FALSE),"nodata")</f>
        <v>nodata</v>
      </c>
      <c r="G165" t="str">
        <f>IFERROR(VLOOKUP($A165,[1]data!$A$2:$G$51,3,FALSE),"nodata")</f>
        <v>nodata</v>
      </c>
      <c r="H165" t="str">
        <f>IFERROR(VLOOKUP($A165,[1]data!$A$2:$G$51,4,FALSE),"nodata")</f>
        <v>nodata</v>
      </c>
      <c r="I165" t="str">
        <f>IFERROR(VLOOKUP($A165,[1]data!$A$2:$G$51,5,FALSE),"nodata")</f>
        <v>nodata</v>
      </c>
      <c r="J165" t="str">
        <f>IFERROR(VLOOKUP($A165,[1]data!$A$2:$G$51,6,FALSE),"nodata")</f>
        <v>nodata</v>
      </c>
      <c r="K165" t="str">
        <f>IFERROR(VLOOKUP($A165,[1]data!$A$2:$G$51,7,FALSE),"nodata")</f>
        <v>nodata</v>
      </c>
      <c r="L165">
        <v>9507875</v>
      </c>
      <c r="M165" t="str">
        <f>IFERROR(J165/L165,"nodata")</f>
        <v>nodata</v>
      </c>
    </row>
    <row r="166" spans="1:14" x14ac:dyDescent="0.2">
      <c r="A166" t="s">
        <v>144</v>
      </c>
      <c r="B166">
        <v>36</v>
      </c>
      <c r="C166">
        <v>547</v>
      </c>
      <c r="D166">
        <v>100</v>
      </c>
      <c r="E166" t="s">
        <v>6</v>
      </c>
      <c r="F166" t="str">
        <f>IFERROR(VLOOKUP($A166,[1]data!$A$2:$G$51,2,FALSE),"nodata")</f>
        <v>nodata</v>
      </c>
      <c r="G166" t="str">
        <f>IFERROR(VLOOKUP($A166,[1]data!$A$2:$G$51,3,FALSE),"nodata")</f>
        <v>nodata</v>
      </c>
      <c r="H166" t="str">
        <f>IFERROR(VLOOKUP($A166,[1]data!$A$2:$G$51,4,FALSE),"nodata")</f>
        <v>nodata</v>
      </c>
      <c r="I166" t="str">
        <f>IFERROR(VLOOKUP($A166,[1]data!$A$2:$G$51,5,FALSE),"nodata")</f>
        <v>nodata</v>
      </c>
      <c r="J166" t="str">
        <f>IFERROR(VLOOKUP($A166,[1]data!$A$2:$G$51,6,FALSE),"nodata")</f>
        <v>nodata</v>
      </c>
      <c r="K166" t="str">
        <f>IFERROR(VLOOKUP($A166,[1]data!$A$2:$G$51,7,FALSE),"nodata")</f>
        <v>nodata</v>
      </c>
      <c r="L166">
        <v>19586539</v>
      </c>
      <c r="M166" t="str">
        <f>IFERROR(J166/L166,"nodata")</f>
        <v>nodata</v>
      </c>
    </row>
    <row r="167" spans="1:14" x14ac:dyDescent="0.2">
      <c r="A167" t="s">
        <v>91</v>
      </c>
      <c r="B167">
        <v>35</v>
      </c>
      <c r="C167">
        <v>51</v>
      </c>
      <c r="D167">
        <v>100</v>
      </c>
      <c r="E167" t="s">
        <v>6</v>
      </c>
      <c r="F167" t="str">
        <f>IFERROR(VLOOKUP($A167,[1]data!$A$2:$G$51,2,FALSE),"nodata")</f>
        <v>nodata</v>
      </c>
      <c r="G167" t="str">
        <f>IFERROR(VLOOKUP($A167,[1]data!$A$2:$G$51,3,FALSE),"nodata")</f>
        <v>nodata</v>
      </c>
      <c r="H167" t="str">
        <f>IFERROR(VLOOKUP($A167,[1]data!$A$2:$G$51,4,FALSE),"nodata")</f>
        <v>nodata</v>
      </c>
      <c r="I167" t="str">
        <f>IFERROR(VLOOKUP($A167,[1]data!$A$2:$G$51,5,FALSE),"nodata")</f>
        <v>nodata</v>
      </c>
      <c r="J167" t="str">
        <f>IFERROR(VLOOKUP($A167,[1]data!$A$2:$G$51,6,FALSE),"nodata")</f>
        <v>nodata</v>
      </c>
      <c r="K167" t="str">
        <f>IFERROR(VLOOKUP($A167,[1]data!$A$2:$G$51,7,FALSE),"nodata")</f>
        <v>nodata</v>
      </c>
      <c r="L167">
        <v>18037646</v>
      </c>
      <c r="M167" t="str">
        <f>IFERROR(J167/L167,"nodata")</f>
        <v>nodata</v>
      </c>
    </row>
    <row r="168" spans="1:14" x14ac:dyDescent="0.2">
      <c r="A168" t="s">
        <v>89</v>
      </c>
      <c r="B168">
        <v>34</v>
      </c>
      <c r="C168">
        <v>0</v>
      </c>
      <c r="D168">
        <v>100</v>
      </c>
      <c r="E168" t="s">
        <v>6</v>
      </c>
      <c r="F168" t="str">
        <f>IFERROR(VLOOKUP($A168,[1]data!$A$2:$G$51,2,FALSE),"nodata")</f>
        <v>nodata</v>
      </c>
      <c r="G168" t="str">
        <f>IFERROR(VLOOKUP($A168,[1]data!$A$2:$G$51,3,FALSE),"nodata")</f>
        <v>nodata</v>
      </c>
      <c r="H168" t="str">
        <f>IFERROR(VLOOKUP($A168,[1]data!$A$2:$G$51,4,FALSE),"nodata")</f>
        <v>nodata</v>
      </c>
      <c r="I168" t="str">
        <f>IFERROR(VLOOKUP($A168,[1]data!$A$2:$G$51,5,FALSE),"nodata")</f>
        <v>nodata</v>
      </c>
      <c r="J168" t="str">
        <f>IFERROR(VLOOKUP($A168,[1]data!$A$2:$G$51,6,FALSE),"nodata")</f>
        <v>nodata</v>
      </c>
      <c r="K168" t="str">
        <f>IFERROR(VLOOKUP($A168,[1]data!$A$2:$G$51,7,FALSE),"nodata")</f>
        <v>nodata</v>
      </c>
      <c r="L168">
        <v>126785797</v>
      </c>
      <c r="M168" t="str">
        <f>IFERROR(J168/L168,"nodata")</f>
        <v>nodata</v>
      </c>
    </row>
    <row r="169" spans="1:14" x14ac:dyDescent="0.2">
      <c r="A169" t="s">
        <v>156</v>
      </c>
      <c r="B169">
        <v>33</v>
      </c>
      <c r="C169">
        <v>53</v>
      </c>
      <c r="D169">
        <v>100</v>
      </c>
      <c r="E169" t="s">
        <v>6</v>
      </c>
      <c r="F169" t="str">
        <f>IFERROR(VLOOKUP($A169,[1]data!$A$2:$G$51,2,FALSE),"nodata")</f>
        <v>nodata</v>
      </c>
      <c r="G169" t="str">
        <f>IFERROR(VLOOKUP($A169,[1]data!$A$2:$G$51,3,FALSE),"nodata")</f>
        <v>nodata</v>
      </c>
      <c r="H169" t="str">
        <f>IFERROR(VLOOKUP($A169,[1]data!$A$2:$G$51,4,FALSE),"nodata")</f>
        <v>nodata</v>
      </c>
      <c r="I169" t="str">
        <f>IFERROR(VLOOKUP($A169,[1]data!$A$2:$G$51,5,FALSE),"nodata")</f>
        <v>nodata</v>
      </c>
      <c r="J169" t="str">
        <f>IFERROR(VLOOKUP($A169,[1]data!$A$2:$G$51,6,FALSE),"nodata")</f>
        <v>nodata</v>
      </c>
      <c r="K169" t="str">
        <f>IFERROR(VLOOKUP($A169,[1]data!$A$2:$G$51,7,FALSE),"nodata")</f>
        <v>nodata</v>
      </c>
      <c r="L169">
        <v>5439892</v>
      </c>
      <c r="M169" t="str">
        <f>IFERROR(J169/L169,"nodata")</f>
        <v>nodata</v>
      </c>
    </row>
    <row r="170" spans="1:14" x14ac:dyDescent="0.2">
      <c r="A170" t="s">
        <v>162</v>
      </c>
      <c r="B170">
        <v>32</v>
      </c>
      <c r="C170">
        <v>103</v>
      </c>
      <c r="D170">
        <v>100</v>
      </c>
      <c r="E170" t="s">
        <v>6</v>
      </c>
      <c r="F170" t="str">
        <f>IFERROR(VLOOKUP($A170,[1]data!$A$2:$G$51,2,FALSE),"nodata")</f>
        <v>nodata</v>
      </c>
      <c r="G170" t="str">
        <f>IFERROR(VLOOKUP($A170,[1]data!$A$2:$G$51,3,FALSE),"nodata")</f>
        <v>nodata</v>
      </c>
      <c r="H170" t="str">
        <f>IFERROR(VLOOKUP($A170,[1]data!$A$2:$G$51,4,FALSE),"nodata")</f>
        <v>nodata</v>
      </c>
      <c r="I170" t="str">
        <f>IFERROR(VLOOKUP($A170,[1]data!$A$2:$G$51,5,FALSE),"nodata")</f>
        <v>nodata</v>
      </c>
      <c r="J170" t="str">
        <f>IFERROR(VLOOKUP($A170,[1]data!$A$2:$G$51,6,FALSE),"nodata")</f>
        <v>nodata</v>
      </c>
      <c r="K170" t="str">
        <f>IFERROR(VLOOKUP($A170,[1]data!$A$2:$G$51,7,FALSE),"nodata")</f>
        <v>nodata</v>
      </c>
      <c r="L170">
        <v>46572028</v>
      </c>
      <c r="M170" t="str">
        <f>IFERROR(J170/L170,"nodata")</f>
        <v>nodata</v>
      </c>
    </row>
    <row r="171" spans="1:14" x14ac:dyDescent="0.2">
      <c r="A171" t="s">
        <v>170</v>
      </c>
      <c r="B171">
        <v>31</v>
      </c>
      <c r="C171">
        <v>59</v>
      </c>
      <c r="D171">
        <v>100</v>
      </c>
      <c r="E171" t="s">
        <v>6</v>
      </c>
      <c r="F171" t="str">
        <f>IFERROR(VLOOKUP($A171,[1]data!$A$2:$G$51,2,FALSE),"nodata")</f>
        <v>nodata</v>
      </c>
      <c r="G171" t="str">
        <f>IFERROR(VLOOKUP($A171,[1]data!$A$2:$G$51,3,FALSE),"nodata")</f>
        <v>nodata</v>
      </c>
      <c r="H171" t="str">
        <f>IFERROR(VLOOKUP($A171,[1]data!$A$2:$G$51,4,FALSE),"nodata")</f>
        <v>nodata</v>
      </c>
      <c r="I171" t="str">
        <f>IFERROR(VLOOKUP($A171,[1]data!$A$2:$G$51,5,FALSE),"nodata")</f>
        <v>nodata</v>
      </c>
      <c r="J171" t="str">
        <f>IFERROR(VLOOKUP($A171,[1]data!$A$2:$G$51,6,FALSE),"nodata")</f>
        <v>nodata</v>
      </c>
      <c r="K171" t="str">
        <f>IFERROR(VLOOKUP($A171,[1]data!$A$2:$G$51,7,FALSE),"nodata")</f>
        <v>nodata</v>
      </c>
      <c r="L171">
        <v>8466017</v>
      </c>
      <c r="M171" t="str">
        <f>IFERROR(J171/L171,"nodata")</f>
        <v>nodata</v>
      </c>
    </row>
    <row r="172" spans="1:14" x14ac:dyDescent="0.2">
      <c r="A172" t="s">
        <v>157</v>
      </c>
      <c r="B172">
        <v>30</v>
      </c>
      <c r="C172">
        <v>110</v>
      </c>
      <c r="D172">
        <v>100</v>
      </c>
      <c r="E172" t="s">
        <v>6</v>
      </c>
      <c r="F172" t="str">
        <f>IFERROR(VLOOKUP($A172,[1]data!$A$2:$G$51,2,FALSE),"nodata")</f>
        <v>nodata</v>
      </c>
      <c r="G172" t="str">
        <f>IFERROR(VLOOKUP($A172,[1]data!$A$2:$G$51,3,FALSE),"nodata")</f>
        <v>nodata</v>
      </c>
      <c r="H172" t="str">
        <f>IFERROR(VLOOKUP($A172,[1]data!$A$2:$G$51,4,FALSE),"nodata")</f>
        <v>nodata</v>
      </c>
      <c r="I172" t="str">
        <f>IFERROR(VLOOKUP($A172,[1]data!$A$2:$G$51,5,FALSE),"nodata")</f>
        <v>nodata</v>
      </c>
      <c r="J172" t="str">
        <f>IFERROR(VLOOKUP($A172,[1]data!$A$2:$G$51,6,FALSE),"nodata")</f>
        <v>nodata</v>
      </c>
      <c r="K172" t="str">
        <f>IFERROR(VLOOKUP($A172,[1]data!$A$2:$G$51,7,FALSE),"nodata")</f>
        <v>nodata</v>
      </c>
      <c r="L172">
        <v>2066748</v>
      </c>
      <c r="M172" t="str">
        <f>IFERROR(J172/L172,"nodata")</f>
        <v>nodata</v>
      </c>
    </row>
    <row r="173" spans="1:14" x14ac:dyDescent="0.2">
      <c r="A173" t="s">
        <v>64</v>
      </c>
      <c r="B173">
        <v>29</v>
      </c>
      <c r="C173">
        <v>6</v>
      </c>
      <c r="D173">
        <v>100</v>
      </c>
      <c r="E173" t="s">
        <v>6</v>
      </c>
      <c r="F173" t="str">
        <f>IFERROR(VLOOKUP($A173,[1]data!$A$2:$G$51,2,FALSE),"nodata")</f>
        <v>nodata</v>
      </c>
      <c r="G173" t="str">
        <f>IFERROR(VLOOKUP($A173,[1]data!$A$2:$G$51,3,FALSE),"nodata")</f>
        <v>nodata</v>
      </c>
      <c r="H173" t="str">
        <f>IFERROR(VLOOKUP($A173,[1]data!$A$2:$G$51,4,FALSE),"nodata")</f>
        <v>nodata</v>
      </c>
      <c r="I173" t="str">
        <f>IFERROR(VLOOKUP($A173,[1]data!$A$2:$G$51,5,FALSE),"nodata")</f>
        <v>nodata</v>
      </c>
      <c r="J173" t="str">
        <f>IFERROR(VLOOKUP($A173,[1]data!$A$2:$G$51,6,FALSE),"nodata")</f>
        <v>nodata</v>
      </c>
      <c r="K173" t="str">
        <f>IFERROR(VLOOKUP($A173,[1]data!$A$2:$G$51,7,FALSE),"nodata")</f>
        <v>nodata</v>
      </c>
      <c r="L173">
        <v>67118648</v>
      </c>
      <c r="M173" t="str">
        <f>IFERROR(J173/L173,"nodata")</f>
        <v>nodata</v>
      </c>
    </row>
    <row r="174" spans="1:14" x14ac:dyDescent="0.2">
      <c r="A174" t="s">
        <v>126</v>
      </c>
      <c r="B174">
        <v>28</v>
      </c>
      <c r="C174">
        <v>30</v>
      </c>
      <c r="D174">
        <v>100</v>
      </c>
      <c r="E174" t="s">
        <v>6</v>
      </c>
      <c r="F174" t="str">
        <f>IFERROR(VLOOKUP($A174,[1]data!$A$2:$G$51,2,FALSE),"nodata")</f>
        <v>nodata</v>
      </c>
      <c r="G174" t="str">
        <f>IFERROR(VLOOKUP($A174,[1]data!$A$2:$G$51,3,FALSE),"nodata")</f>
        <v>nodata</v>
      </c>
      <c r="H174" t="str">
        <f>IFERROR(VLOOKUP($A174,[1]data!$A$2:$G$51,4,FALSE),"nodata")</f>
        <v>nodata</v>
      </c>
      <c r="I174" t="str">
        <f>IFERROR(VLOOKUP($A174,[1]data!$A$2:$G$51,5,FALSE),"nodata")</f>
        <v>nodata</v>
      </c>
      <c r="J174" t="str">
        <f>IFERROR(VLOOKUP($A174,[1]data!$A$2:$G$51,6,FALSE),"nodata")</f>
        <v>nodata</v>
      </c>
      <c r="K174" t="str">
        <f>IFERROR(VLOOKUP($A174,[1]data!$A$2:$G$51,7,FALSE),"nodata")</f>
        <v>nodata</v>
      </c>
      <c r="L174">
        <v>17132854</v>
      </c>
      <c r="M174" t="str">
        <f>IFERROR(J174/L174,"nodata")</f>
        <v>nodata</v>
      </c>
    </row>
    <row r="175" spans="1:14" x14ac:dyDescent="0.2">
      <c r="A175" t="s">
        <v>49</v>
      </c>
      <c r="B175">
        <v>27</v>
      </c>
      <c r="C175">
        <v>25</v>
      </c>
      <c r="D175">
        <v>100</v>
      </c>
      <c r="E175" t="s">
        <v>6</v>
      </c>
      <c r="F175" t="str">
        <f>IFERROR(VLOOKUP($A175,[1]data!$A$2:$G$51,2,FALSE),"nodata")</f>
        <v>nodata</v>
      </c>
      <c r="G175" t="str">
        <f>IFERROR(VLOOKUP($A175,[1]data!$A$2:$G$51,3,FALSE),"nodata")</f>
        <v>nodata</v>
      </c>
      <c r="H175" t="str">
        <f>IFERROR(VLOOKUP($A175,[1]data!$A$2:$G$51,4,FALSE),"nodata")</f>
        <v>nodata</v>
      </c>
      <c r="I175" t="str">
        <f>IFERROR(VLOOKUP($A175,[1]data!$A$2:$G$51,5,FALSE),"nodata")</f>
        <v>nodata</v>
      </c>
      <c r="J175" t="str">
        <f>IFERROR(VLOOKUP($A175,[1]data!$A$2:$G$51,6,FALSE),"nodata")</f>
        <v>nodata</v>
      </c>
      <c r="K175" t="str">
        <f>IFERROR(VLOOKUP($A175,[1]data!$A$2:$G$51,7,FALSE),"nodata")</f>
        <v>nodata</v>
      </c>
      <c r="L175">
        <v>10591323</v>
      </c>
      <c r="M175" t="str">
        <f>IFERROR(J175/L175,"nodata")</f>
        <v>nodata</v>
      </c>
    </row>
    <row r="176" spans="1:14" x14ac:dyDescent="0.2">
      <c r="A176" t="s">
        <v>183</v>
      </c>
      <c r="B176">
        <v>26</v>
      </c>
      <c r="C176">
        <v>25</v>
      </c>
      <c r="D176">
        <v>100</v>
      </c>
      <c r="E176" t="s">
        <v>6</v>
      </c>
      <c r="F176" t="str">
        <f>IFERROR(VLOOKUP($A176,[1]data!$A$2:$G$51,2,FALSE),"nodata")</f>
        <v>nodata</v>
      </c>
      <c r="G176" t="str">
        <f>IFERROR(VLOOKUP($A176,[1]data!$A$2:$G$51,3,FALSE),"nodata")</f>
        <v>nodata</v>
      </c>
      <c r="H176" t="str">
        <f>IFERROR(VLOOKUP($A176,[1]data!$A$2:$G$51,4,FALSE),"nodata")</f>
        <v>nodata</v>
      </c>
      <c r="I176" t="str">
        <f>IFERROR(VLOOKUP($A176,[1]data!$A$2:$G$51,5,FALSE),"nodata")</f>
        <v>nodata</v>
      </c>
      <c r="J176" t="str">
        <f>IFERROR(VLOOKUP($A176,[1]data!$A$2:$G$51,6,FALSE),"nodata")</f>
        <v>nodata</v>
      </c>
      <c r="K176" t="str">
        <f>IFERROR(VLOOKUP($A176,[1]data!$A$2:$G$51,7,FALSE),"nodata")</f>
        <v>nodata</v>
      </c>
      <c r="L176">
        <v>9400145</v>
      </c>
      <c r="M176" t="str">
        <f>IFERROR(J176/L176,"nodata")</f>
        <v>nodata</v>
      </c>
    </row>
    <row r="177" spans="1:13" x14ac:dyDescent="0.2">
      <c r="A177" t="s">
        <v>141</v>
      </c>
      <c r="B177">
        <v>25</v>
      </c>
      <c r="C177">
        <v>37</v>
      </c>
      <c r="D177">
        <v>100</v>
      </c>
      <c r="E177" t="s">
        <v>6</v>
      </c>
      <c r="F177" t="str">
        <f>IFERROR(VLOOKUP($A177,[1]data!$A$2:$G$51,2,FALSE),"nodata")</f>
        <v>nodata</v>
      </c>
      <c r="G177" t="str">
        <f>IFERROR(VLOOKUP($A177,[1]data!$A$2:$G$51,3,FALSE),"nodata")</f>
        <v>nodata</v>
      </c>
      <c r="H177" t="str">
        <f>IFERROR(VLOOKUP($A177,[1]data!$A$2:$G$51,4,FALSE),"nodata")</f>
        <v>nodata</v>
      </c>
      <c r="I177" t="str">
        <f>IFERROR(VLOOKUP($A177,[1]data!$A$2:$G$51,5,FALSE),"nodata")</f>
        <v>nodata</v>
      </c>
      <c r="J177" t="str">
        <f>IFERROR(VLOOKUP($A177,[1]data!$A$2:$G$51,6,FALSE),"nodata")</f>
        <v>nodata</v>
      </c>
      <c r="K177" t="str">
        <f>IFERROR(VLOOKUP($A177,[1]data!$A$2:$G$51,7,FALSE),"nodata")</f>
        <v>nodata</v>
      </c>
      <c r="L177">
        <v>10293718</v>
      </c>
      <c r="M177" t="str">
        <f>IFERROR(J177/L177,"nodata")</f>
        <v>nodata</v>
      </c>
    </row>
    <row r="178" spans="1:13" x14ac:dyDescent="0.2">
      <c r="A178" t="s">
        <v>140</v>
      </c>
      <c r="B178">
        <v>24</v>
      </c>
      <c r="C178">
        <v>19</v>
      </c>
      <c r="D178">
        <v>100</v>
      </c>
      <c r="E178" t="s">
        <v>6</v>
      </c>
      <c r="F178" t="str">
        <f>IFERROR(VLOOKUP($A178,[1]data!$A$2:$G$51,2,FALSE),"nodata")</f>
        <v>nodata</v>
      </c>
      <c r="G178" t="str">
        <f>IFERROR(VLOOKUP($A178,[1]data!$A$2:$G$51,3,FALSE),"nodata")</f>
        <v>nodata</v>
      </c>
      <c r="H178" t="str">
        <f>IFERROR(VLOOKUP($A178,[1]data!$A$2:$G$51,4,FALSE),"nodata")</f>
        <v>nodata</v>
      </c>
      <c r="I178" t="str">
        <f>IFERROR(VLOOKUP($A178,[1]data!$A$2:$G$51,5,FALSE),"nodata")</f>
        <v>nodata</v>
      </c>
      <c r="J178" t="str">
        <f>IFERROR(VLOOKUP($A178,[1]data!$A$2:$G$51,6,FALSE),"nodata")</f>
        <v>nodata</v>
      </c>
      <c r="K178" t="str">
        <f>IFERROR(VLOOKUP($A178,[1]data!$A$2:$G$51,7,FALSE),"nodata")</f>
        <v>nodata</v>
      </c>
      <c r="L178">
        <v>37975841</v>
      </c>
      <c r="M178" t="str">
        <f>IFERROR(J178/L178,"nodata")</f>
        <v>nodata</v>
      </c>
    </row>
    <row r="179" spans="1:13" x14ac:dyDescent="0.2">
      <c r="A179" t="s">
        <v>109</v>
      </c>
      <c r="B179">
        <v>23</v>
      </c>
      <c r="C179">
        <v>27</v>
      </c>
      <c r="D179">
        <v>100</v>
      </c>
      <c r="E179" t="s">
        <v>6</v>
      </c>
      <c r="F179" t="str">
        <f>IFERROR(VLOOKUP($A179,[1]data!$A$2:$G$51,2,FALSE),"nodata")</f>
        <v>nodata</v>
      </c>
      <c r="G179" t="str">
        <f>IFERROR(VLOOKUP($A179,[1]data!$A$2:$G$51,3,FALSE),"nodata")</f>
        <v>nodata</v>
      </c>
      <c r="H179" t="str">
        <f>IFERROR(VLOOKUP($A179,[1]data!$A$2:$G$51,4,FALSE),"nodata")</f>
        <v>nodata</v>
      </c>
      <c r="I179" t="str">
        <f>IFERROR(VLOOKUP($A179,[1]data!$A$2:$G$51,5,FALSE),"nodata")</f>
        <v>nodata</v>
      </c>
      <c r="J179" t="str">
        <f>IFERROR(VLOOKUP($A179,[1]data!$A$2:$G$51,6,FALSE),"nodata")</f>
        <v>nodata</v>
      </c>
      <c r="K179" t="str">
        <f>IFERROR(VLOOKUP($A179,[1]data!$A$2:$G$51,7,FALSE),"nodata")</f>
        <v>nodata</v>
      </c>
      <c r="L179">
        <v>31624264</v>
      </c>
      <c r="M179" t="str">
        <f>IFERROR(J179/L179,"nodata")</f>
        <v>nodata</v>
      </c>
    </row>
    <row r="180" spans="1:13" x14ac:dyDescent="0.2">
      <c r="A180" t="s">
        <v>36</v>
      </c>
      <c r="B180">
        <v>22</v>
      </c>
      <c r="C180">
        <v>126</v>
      </c>
      <c r="D180">
        <v>100</v>
      </c>
      <c r="E180" t="s">
        <v>6</v>
      </c>
      <c r="F180" t="str">
        <f>IFERROR(VLOOKUP($A180,[1]data!$A$2:$G$51,2,FALSE),"nodata")</f>
        <v>nodata</v>
      </c>
      <c r="G180" t="str">
        <f>IFERROR(VLOOKUP($A180,[1]data!$A$2:$G$51,3,FALSE),"nodata")</f>
        <v>nodata</v>
      </c>
      <c r="H180" t="str">
        <f>IFERROR(VLOOKUP($A180,[1]data!$A$2:$G$51,4,FALSE),"nodata")</f>
        <v>nodata</v>
      </c>
      <c r="I180" t="str">
        <f>IFERROR(VLOOKUP($A180,[1]data!$A$2:$G$51,5,FALSE),"nodata")</f>
        <v>nodata</v>
      </c>
      <c r="J180" t="str">
        <f>IFERROR(VLOOKUP($A180,[1]data!$A$2:$G$51,6,FALSE),"nodata")</f>
        <v>nodata</v>
      </c>
      <c r="K180" t="str">
        <f>IFERROR(VLOOKUP($A180,[1]data!$A$2:$G$51,7,FALSE),"nodata")</f>
        <v>nodata</v>
      </c>
      <c r="L180">
        <v>36708083</v>
      </c>
      <c r="M180" t="str">
        <f>IFERROR(J180/L180,"nodata")</f>
        <v>nodata</v>
      </c>
    </row>
    <row r="181" spans="1:13" x14ac:dyDescent="0.2">
      <c r="A181" t="s">
        <v>104</v>
      </c>
      <c r="B181">
        <v>21</v>
      </c>
      <c r="C181">
        <v>44</v>
      </c>
      <c r="D181">
        <v>100</v>
      </c>
      <c r="E181" t="s">
        <v>6</v>
      </c>
      <c r="F181" t="str">
        <f>IFERROR(VLOOKUP($A181,[1]data!$A$2:$G$51,2,FALSE),"nodata")</f>
        <v>nodata</v>
      </c>
      <c r="G181" t="str">
        <f>IFERROR(VLOOKUP($A181,[1]data!$A$2:$G$51,3,FALSE),"nodata")</f>
        <v>nodata</v>
      </c>
      <c r="H181" t="str">
        <f>IFERROR(VLOOKUP($A181,[1]data!$A$2:$G$51,4,FALSE),"nodata")</f>
        <v>nodata</v>
      </c>
      <c r="I181" t="str">
        <f>IFERROR(VLOOKUP($A181,[1]data!$A$2:$G$51,5,FALSE),"nodata")</f>
        <v>nodata</v>
      </c>
      <c r="J181" t="str">
        <f>IFERROR(VLOOKUP($A181,[1]data!$A$2:$G$51,6,FALSE),"nodata")</f>
        <v>nodata</v>
      </c>
      <c r="K181" t="str">
        <f>IFERROR(VLOOKUP($A181,[1]data!$A$2:$G$51,7,FALSE),"nodata")</f>
        <v>nodata</v>
      </c>
      <c r="L181">
        <v>2827721</v>
      </c>
      <c r="M181" t="str">
        <f>IFERROR(J181/L181,"nodata")</f>
        <v>nodata</v>
      </c>
    </row>
    <row r="182" spans="1:13" x14ac:dyDescent="0.2">
      <c r="A182" t="s">
        <v>80</v>
      </c>
      <c r="B182">
        <v>20</v>
      </c>
      <c r="C182">
        <v>11</v>
      </c>
      <c r="D182">
        <v>100</v>
      </c>
      <c r="E182" t="s">
        <v>6</v>
      </c>
      <c r="F182" t="str">
        <f>IFERROR(VLOOKUP($A182,[1]data!$A$2:$G$51,2,FALSE),"nodata")</f>
        <v>nodata</v>
      </c>
      <c r="G182" t="str">
        <f>IFERROR(VLOOKUP($A182,[1]data!$A$2:$G$51,3,FALSE),"nodata")</f>
        <v>nodata</v>
      </c>
      <c r="H182" t="str">
        <f>IFERROR(VLOOKUP($A182,[1]data!$A$2:$G$51,4,FALSE),"nodata")</f>
        <v>nodata</v>
      </c>
      <c r="I182" t="str">
        <f>IFERROR(VLOOKUP($A182,[1]data!$A$2:$G$51,5,FALSE),"nodata")</f>
        <v>nodata</v>
      </c>
      <c r="J182" t="str">
        <f>IFERROR(VLOOKUP($A182,[1]data!$A$2:$G$51,6,FALSE),"nodata")</f>
        <v>nodata</v>
      </c>
      <c r="K182" t="str">
        <f>IFERROR(VLOOKUP($A182,[1]data!$A$2:$G$51,7,FALSE),"nodata")</f>
        <v>nodata</v>
      </c>
      <c r="L182">
        <v>341284</v>
      </c>
      <c r="M182" t="str">
        <f>IFERROR(J182/L182,"nodata")</f>
        <v>nodata</v>
      </c>
    </row>
    <row r="183" spans="1:13" x14ac:dyDescent="0.2">
      <c r="A183" t="s">
        <v>15</v>
      </c>
      <c r="B183">
        <v>19</v>
      </c>
      <c r="C183">
        <v>96</v>
      </c>
      <c r="D183">
        <v>100</v>
      </c>
      <c r="E183" t="s">
        <v>6</v>
      </c>
      <c r="F183" t="str">
        <f>IFERROR(VLOOKUP($A183,[1]data!$A$2:$G$51,2,FALSE),"nodata")</f>
        <v>nodata</v>
      </c>
      <c r="G183" t="str">
        <f>IFERROR(VLOOKUP($A183,[1]data!$A$2:$G$51,3,FALSE),"nodata")</f>
        <v>nodata</v>
      </c>
      <c r="H183" t="str">
        <f>IFERROR(VLOOKUP($A183,[1]data!$A$2:$G$51,4,FALSE),"nodata")</f>
        <v>nodata</v>
      </c>
      <c r="I183" t="str">
        <f>IFERROR(VLOOKUP($A183,[1]data!$A$2:$G$51,5,FALSE),"nodata")</f>
        <v>nodata</v>
      </c>
      <c r="J183" t="str">
        <f>IFERROR(VLOOKUP($A183,[1]data!$A$2:$G$51,6,FALSE),"nodata")</f>
        <v>nodata</v>
      </c>
      <c r="K183" t="str">
        <f>IFERROR(VLOOKUP($A183,[1]data!$A$2:$G$51,7,FALSE),"nodata")</f>
        <v>nodata</v>
      </c>
      <c r="L183">
        <v>8809212</v>
      </c>
      <c r="M183" t="str">
        <f>IFERROR(J183/L183,"nodata")</f>
        <v>nodata</v>
      </c>
    </row>
    <row r="184" spans="1:13" x14ac:dyDescent="0.2">
      <c r="A184" t="s">
        <v>85</v>
      </c>
      <c r="B184">
        <v>18</v>
      </c>
      <c r="C184">
        <v>62</v>
      </c>
      <c r="D184">
        <v>100</v>
      </c>
      <c r="E184" t="s">
        <v>6</v>
      </c>
      <c r="F184" t="str">
        <f>IFERROR(VLOOKUP($A184,[1]data!$A$2:$G$51,2,FALSE),"nodata")</f>
        <v>nodata</v>
      </c>
      <c r="G184" t="str">
        <f>IFERROR(VLOOKUP($A184,[1]data!$A$2:$G$51,3,FALSE),"nodata")</f>
        <v>nodata</v>
      </c>
      <c r="H184" t="str">
        <f>IFERROR(VLOOKUP($A184,[1]data!$A$2:$G$51,4,FALSE),"nodata")</f>
        <v>nodata</v>
      </c>
      <c r="I184" t="str">
        <f>IFERROR(VLOOKUP($A184,[1]data!$A$2:$G$51,5,FALSE),"nodata")</f>
        <v>nodata</v>
      </c>
      <c r="J184" t="str">
        <f>IFERROR(VLOOKUP($A184,[1]data!$A$2:$G$51,6,FALSE),"nodata")</f>
        <v>nodata</v>
      </c>
      <c r="K184" t="str">
        <f>IFERROR(VLOOKUP($A184,[1]data!$A$2:$G$51,7,FALSE),"nodata")</f>
        <v>nodata</v>
      </c>
      <c r="L184">
        <v>4813608</v>
      </c>
      <c r="M184" t="str">
        <f>IFERROR(J184/L184,"nodata")</f>
        <v>nodata</v>
      </c>
    </row>
    <row r="185" spans="1:13" x14ac:dyDescent="0.2">
      <c r="A185" t="s">
        <v>68</v>
      </c>
      <c r="B185">
        <v>17</v>
      </c>
      <c r="C185">
        <v>41</v>
      </c>
      <c r="D185">
        <v>100</v>
      </c>
      <c r="E185" t="s">
        <v>6</v>
      </c>
      <c r="F185" t="str">
        <f>IFERROR(VLOOKUP($A185,[1]data!$A$2:$G$51,2,FALSE),"nodata")</f>
        <v>nodata</v>
      </c>
      <c r="G185" t="str">
        <f>IFERROR(VLOOKUP($A185,[1]data!$A$2:$G$51,3,FALSE),"nodata")</f>
        <v>nodata</v>
      </c>
      <c r="H185" t="str">
        <f>IFERROR(VLOOKUP($A185,[1]data!$A$2:$G$51,4,FALSE),"nodata")</f>
        <v>nodata</v>
      </c>
      <c r="I185" t="str">
        <f>IFERROR(VLOOKUP($A185,[1]data!$A$2:$G$51,5,FALSE),"nodata")</f>
        <v>nodata</v>
      </c>
      <c r="J185" t="str">
        <f>IFERROR(VLOOKUP($A185,[1]data!$A$2:$G$51,6,FALSE),"nodata")</f>
        <v>nodata</v>
      </c>
      <c r="K185" t="str">
        <f>IFERROR(VLOOKUP($A185,[1]data!$A$2:$G$51,7,FALSE),"nodata")</f>
        <v>nodata</v>
      </c>
      <c r="L185">
        <v>82695000</v>
      </c>
      <c r="M185" t="str">
        <f>IFERROR(J185/L185,"nodata")</f>
        <v>nodata</v>
      </c>
    </row>
    <row r="186" spans="1:13" x14ac:dyDescent="0.2">
      <c r="A186" t="s">
        <v>67</v>
      </c>
      <c r="B186">
        <v>16</v>
      </c>
      <c r="C186">
        <v>354</v>
      </c>
      <c r="D186">
        <v>100</v>
      </c>
      <c r="E186" t="s">
        <v>6</v>
      </c>
      <c r="F186" t="str">
        <f>IFERROR(VLOOKUP($A186,[1]data!$A$2:$G$51,2,FALSE),"nodata")</f>
        <v>nodata</v>
      </c>
      <c r="G186" t="str">
        <f>IFERROR(VLOOKUP($A186,[1]data!$A$2:$G$51,3,FALSE),"nodata")</f>
        <v>nodata</v>
      </c>
      <c r="H186" t="str">
        <f>IFERROR(VLOOKUP($A186,[1]data!$A$2:$G$51,4,FALSE),"nodata")</f>
        <v>nodata</v>
      </c>
      <c r="I186" t="str">
        <f>IFERROR(VLOOKUP($A186,[1]data!$A$2:$G$51,5,FALSE),"nodata")</f>
        <v>nodata</v>
      </c>
      <c r="J186" t="str">
        <f>IFERROR(VLOOKUP($A186,[1]data!$A$2:$G$51,6,FALSE),"nodata")</f>
        <v>nodata</v>
      </c>
      <c r="K186" t="str">
        <f>IFERROR(VLOOKUP($A186,[1]data!$A$2:$G$51,7,FALSE),"nodata")</f>
        <v>nodata</v>
      </c>
      <c r="L186">
        <v>3717100</v>
      </c>
      <c r="M186" t="str">
        <f>IFERROR(J186/L186,"nodata")</f>
        <v>nodata</v>
      </c>
    </row>
    <row r="187" spans="1:13" x14ac:dyDescent="0.2">
      <c r="A187" t="s">
        <v>14</v>
      </c>
      <c r="B187">
        <v>15</v>
      </c>
      <c r="C187">
        <v>13</v>
      </c>
      <c r="D187">
        <v>100</v>
      </c>
      <c r="E187" t="s">
        <v>6</v>
      </c>
      <c r="F187" t="str">
        <f>IFERROR(VLOOKUP($A187,[1]data!$A$2:$G$51,2,FALSE),"nodata")</f>
        <v>nodata</v>
      </c>
      <c r="G187" t="str">
        <f>IFERROR(VLOOKUP($A187,[1]data!$A$2:$G$51,3,FALSE),"nodata")</f>
        <v>nodata</v>
      </c>
      <c r="H187" t="str">
        <f>IFERROR(VLOOKUP($A187,[1]data!$A$2:$G$51,4,FALSE),"nodata")</f>
        <v>nodata</v>
      </c>
      <c r="I187" t="str">
        <f>IFERROR(VLOOKUP($A187,[1]data!$A$2:$G$51,5,FALSE),"nodata")</f>
        <v>nodata</v>
      </c>
      <c r="J187" t="str">
        <f>IFERROR(VLOOKUP($A187,[1]data!$A$2:$G$51,6,FALSE),"nodata")</f>
        <v>nodata</v>
      </c>
      <c r="K187" t="str">
        <f>IFERROR(VLOOKUP($A187,[1]data!$A$2:$G$51,7,FALSE),"nodata")</f>
        <v>nodata</v>
      </c>
      <c r="L187">
        <v>24598933</v>
      </c>
      <c r="M187" t="str">
        <f>IFERROR(J187/L187,"nodata")</f>
        <v>nodata</v>
      </c>
    </row>
    <row r="188" spans="1:13" x14ac:dyDescent="0.2">
      <c r="A188" t="s">
        <v>99</v>
      </c>
      <c r="B188">
        <v>14</v>
      </c>
      <c r="C188">
        <v>290</v>
      </c>
      <c r="D188">
        <v>100</v>
      </c>
      <c r="E188" t="s">
        <v>6</v>
      </c>
      <c r="F188" t="str">
        <f>IFERROR(VLOOKUP($A188,[1]data!$A$2:$G$51,2,FALSE),"nodata")</f>
        <v>nodata</v>
      </c>
      <c r="G188" t="str">
        <f>IFERROR(VLOOKUP($A188,[1]data!$A$2:$G$51,3,FALSE),"nodata")</f>
        <v>nodata</v>
      </c>
      <c r="H188" t="str">
        <f>IFERROR(VLOOKUP($A188,[1]data!$A$2:$G$51,4,FALSE),"nodata")</f>
        <v>nodata</v>
      </c>
      <c r="I188" t="str">
        <f>IFERROR(VLOOKUP($A188,[1]data!$A$2:$G$51,5,FALSE),"nodata")</f>
        <v>nodata</v>
      </c>
      <c r="J188" t="str">
        <f>IFERROR(VLOOKUP($A188,[1]data!$A$2:$G$51,6,FALSE),"nodata")</f>
        <v>nodata</v>
      </c>
      <c r="K188" t="str">
        <f>IFERROR(VLOOKUP($A188,[1]data!$A$2:$G$51,7,FALSE),"nodata")</f>
        <v>nodata</v>
      </c>
      <c r="L188">
        <v>1940740</v>
      </c>
      <c r="M188" t="str">
        <f>IFERROR(J188/L188,"nodata")</f>
        <v>nodata</v>
      </c>
    </row>
    <row r="189" spans="1:13" x14ac:dyDescent="0.2">
      <c r="A189" t="s">
        <v>63</v>
      </c>
      <c r="B189">
        <v>13</v>
      </c>
      <c r="C189">
        <v>28</v>
      </c>
      <c r="D189">
        <v>100</v>
      </c>
      <c r="E189" t="s">
        <v>6</v>
      </c>
      <c r="F189" t="str">
        <f>IFERROR(VLOOKUP($A189,[1]data!$A$2:$G$51,2,FALSE),"nodata")</f>
        <v>nodata</v>
      </c>
      <c r="G189" t="str">
        <f>IFERROR(VLOOKUP($A189,[1]data!$A$2:$G$51,3,FALSE),"nodata")</f>
        <v>nodata</v>
      </c>
      <c r="H189" t="str">
        <f>IFERROR(VLOOKUP($A189,[1]data!$A$2:$G$51,4,FALSE),"nodata")</f>
        <v>nodata</v>
      </c>
      <c r="I189" t="str">
        <f>IFERROR(VLOOKUP($A189,[1]data!$A$2:$G$51,5,FALSE),"nodata")</f>
        <v>nodata</v>
      </c>
      <c r="J189" t="str">
        <f>IFERROR(VLOOKUP($A189,[1]data!$A$2:$G$51,6,FALSE),"nodata")</f>
        <v>nodata</v>
      </c>
      <c r="K189" t="str">
        <f>IFERROR(VLOOKUP($A189,[1]data!$A$2:$G$51,7,FALSE),"nodata")</f>
        <v>nodata</v>
      </c>
      <c r="L189">
        <v>5511303</v>
      </c>
      <c r="M189" t="str">
        <f>IFERROR(J189/L189,"nodata")</f>
        <v>nodata</v>
      </c>
    </row>
    <row r="190" spans="1:13" x14ac:dyDescent="0.2">
      <c r="A190" t="s">
        <v>60</v>
      </c>
      <c r="B190">
        <v>12</v>
      </c>
      <c r="C190">
        <v>173</v>
      </c>
      <c r="D190">
        <v>100</v>
      </c>
      <c r="E190" t="s">
        <v>6</v>
      </c>
      <c r="F190" t="str">
        <f>IFERROR(VLOOKUP($A190,[1]data!$A$2:$G$51,2,FALSE),"nodata")</f>
        <v>nodata</v>
      </c>
      <c r="G190" t="str">
        <f>IFERROR(VLOOKUP($A190,[1]data!$A$2:$G$51,3,FALSE),"nodata")</f>
        <v>nodata</v>
      </c>
      <c r="H190" t="str">
        <f>IFERROR(VLOOKUP($A190,[1]data!$A$2:$G$51,4,FALSE),"nodata")</f>
        <v>nodata</v>
      </c>
      <c r="I190" t="str">
        <f>IFERROR(VLOOKUP($A190,[1]data!$A$2:$G$51,5,FALSE),"nodata")</f>
        <v>nodata</v>
      </c>
      <c r="J190" t="str">
        <f>IFERROR(VLOOKUP($A190,[1]data!$A$2:$G$51,6,FALSE),"nodata")</f>
        <v>nodata</v>
      </c>
      <c r="K190" t="str">
        <f>IFERROR(VLOOKUP($A190,[1]data!$A$2:$G$51,7,FALSE),"nodata")</f>
        <v>nodata</v>
      </c>
      <c r="L190">
        <v>1315480</v>
      </c>
      <c r="M190" t="str">
        <f>IFERROR(J190/L190,"nodata")</f>
        <v>nodata</v>
      </c>
    </row>
  </sheetData>
  <autoFilter ref="A1:M190" xr:uid="{00000000-0009-0000-0000-000000000000}">
    <filterColumn colId="4">
      <filters>
        <filter val="non"/>
        <filter val="sub"/>
      </filters>
    </filterColumn>
    <sortState ref="A12:M190">
      <sortCondition descending="1" ref="B1:B190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90"/>
  <sheetViews>
    <sheetView workbookViewId="0">
      <selection activeCell="K196" sqref="K196"/>
    </sheetView>
  </sheetViews>
  <sheetFormatPr baseColWidth="10" defaultRowHeight="16" x14ac:dyDescent="0.2"/>
  <cols>
    <col min="1" max="1" width="27" bestFit="1" customWidth="1"/>
    <col min="2" max="2" width="5" bestFit="1" customWidth="1"/>
    <col min="3" max="3" width="6.1640625" bestFit="1" customWidth="1"/>
    <col min="4" max="4" width="6.6640625" bestFit="1" customWidth="1"/>
    <col min="5" max="5" width="8.33203125" bestFit="1" customWidth="1"/>
    <col min="6" max="6" width="12.1640625" bestFit="1" customWidth="1"/>
    <col min="7" max="8" width="7.1640625" bestFit="1" customWidth="1"/>
    <col min="9" max="9" width="10.33203125" bestFit="1" customWidth="1"/>
    <col min="10" max="10" width="8.1640625" bestFit="1" customWidth="1"/>
    <col min="11" max="11" width="12.1640625" bestFit="1" customWidth="1"/>
    <col min="12" max="12" width="13.83203125" bestFit="1" customWidth="1"/>
    <col min="13" max="13" width="12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205</v>
      </c>
      <c r="M1" t="s">
        <v>202</v>
      </c>
    </row>
    <row r="2" spans="1:13" x14ac:dyDescent="0.2">
      <c r="A2" t="s">
        <v>127</v>
      </c>
      <c r="B2">
        <v>1</v>
      </c>
      <c r="C2">
        <v>76</v>
      </c>
      <c r="D2">
        <v>100</v>
      </c>
      <c r="E2" t="s">
        <v>51</v>
      </c>
      <c r="F2" t="s">
        <v>201</v>
      </c>
      <c r="G2" t="s">
        <v>201</v>
      </c>
      <c r="H2" t="s">
        <v>201</v>
      </c>
      <c r="I2" t="s">
        <v>201</v>
      </c>
      <c r="J2" t="s">
        <v>201</v>
      </c>
      <c r="K2" t="s">
        <v>201</v>
      </c>
      <c r="L2">
        <v>4793900</v>
      </c>
      <c r="M2" t="s">
        <v>201</v>
      </c>
    </row>
    <row r="3" spans="1:13" x14ac:dyDescent="0.2">
      <c r="A3" t="s">
        <v>155</v>
      </c>
      <c r="B3">
        <v>2</v>
      </c>
      <c r="C3">
        <v>26</v>
      </c>
      <c r="D3">
        <v>100</v>
      </c>
      <c r="E3" t="s">
        <v>51</v>
      </c>
      <c r="F3" t="s">
        <v>201</v>
      </c>
      <c r="G3" t="s">
        <v>201</v>
      </c>
      <c r="H3" t="s">
        <v>201</v>
      </c>
      <c r="I3" t="s">
        <v>201</v>
      </c>
      <c r="J3" t="s">
        <v>201</v>
      </c>
      <c r="K3" t="s">
        <v>201</v>
      </c>
      <c r="L3">
        <v>5612253</v>
      </c>
      <c r="M3" t="s">
        <v>201</v>
      </c>
    </row>
    <row r="4" spans="1:13" x14ac:dyDescent="0.2">
      <c r="A4" t="s">
        <v>50</v>
      </c>
      <c r="B4">
        <v>3</v>
      </c>
      <c r="C4">
        <v>109</v>
      </c>
      <c r="D4">
        <v>100</v>
      </c>
      <c r="E4" t="s">
        <v>51</v>
      </c>
      <c r="F4" t="s">
        <v>201</v>
      </c>
      <c r="G4" t="s">
        <v>201</v>
      </c>
      <c r="H4" t="s">
        <v>201</v>
      </c>
      <c r="I4" t="s">
        <v>201</v>
      </c>
      <c r="J4" t="s">
        <v>201</v>
      </c>
      <c r="K4" t="s">
        <v>201</v>
      </c>
      <c r="L4">
        <v>5769603</v>
      </c>
      <c r="M4" t="s">
        <v>201</v>
      </c>
    </row>
    <row r="5" spans="1:13" x14ac:dyDescent="0.2">
      <c r="A5" t="s">
        <v>78</v>
      </c>
      <c r="B5">
        <v>4</v>
      </c>
      <c r="C5">
        <v>1</v>
      </c>
      <c r="D5">
        <v>100</v>
      </c>
      <c r="E5" t="s">
        <v>51</v>
      </c>
      <c r="F5" t="s">
        <v>201</v>
      </c>
      <c r="G5" t="s">
        <v>201</v>
      </c>
      <c r="H5" t="s">
        <v>201</v>
      </c>
      <c r="I5" t="s">
        <v>201</v>
      </c>
      <c r="J5" t="s">
        <v>201</v>
      </c>
      <c r="K5" t="s">
        <v>201</v>
      </c>
      <c r="L5">
        <v>7391700</v>
      </c>
      <c r="M5" t="s">
        <v>201</v>
      </c>
    </row>
    <row r="6" spans="1:13" x14ac:dyDescent="0.2">
      <c r="A6" t="s">
        <v>94</v>
      </c>
      <c r="B6">
        <v>5</v>
      </c>
      <c r="C6">
        <v>38</v>
      </c>
      <c r="D6">
        <v>100</v>
      </c>
      <c r="E6" t="s">
        <v>51</v>
      </c>
      <c r="F6" t="s">
        <v>201</v>
      </c>
      <c r="G6" t="s">
        <v>201</v>
      </c>
      <c r="H6" t="s">
        <v>201</v>
      </c>
      <c r="I6" t="s">
        <v>201</v>
      </c>
      <c r="J6" t="s">
        <v>201</v>
      </c>
      <c r="K6" t="s">
        <v>201</v>
      </c>
      <c r="L6">
        <v>51466201</v>
      </c>
      <c r="M6" t="s">
        <v>201</v>
      </c>
    </row>
    <row r="7" spans="1:13" x14ac:dyDescent="0.2">
      <c r="A7" t="s">
        <v>131</v>
      </c>
      <c r="B7">
        <v>6</v>
      </c>
      <c r="C7">
        <v>11</v>
      </c>
      <c r="D7">
        <v>100</v>
      </c>
      <c r="E7" t="s">
        <v>51</v>
      </c>
      <c r="F7" t="s">
        <v>201</v>
      </c>
      <c r="G7" t="s">
        <v>201</v>
      </c>
      <c r="H7" t="s">
        <v>201</v>
      </c>
      <c r="I7" t="s">
        <v>201</v>
      </c>
      <c r="J7" t="s">
        <v>201</v>
      </c>
      <c r="K7" t="s">
        <v>201</v>
      </c>
      <c r="L7">
        <v>5282223</v>
      </c>
      <c r="M7" t="s">
        <v>201</v>
      </c>
    </row>
    <row r="8" spans="1:13" x14ac:dyDescent="0.2">
      <c r="A8" t="s">
        <v>184</v>
      </c>
      <c r="B8">
        <v>7</v>
      </c>
      <c r="C8">
        <v>26</v>
      </c>
      <c r="D8">
        <v>100</v>
      </c>
      <c r="E8" t="s">
        <v>51</v>
      </c>
      <c r="F8" t="s">
        <v>201</v>
      </c>
      <c r="G8" t="s">
        <v>201</v>
      </c>
      <c r="H8" t="s">
        <v>201</v>
      </c>
      <c r="I8" t="s">
        <v>201</v>
      </c>
      <c r="J8" t="s">
        <v>201</v>
      </c>
      <c r="K8" t="s">
        <v>201</v>
      </c>
      <c r="L8">
        <v>66022273</v>
      </c>
      <c r="M8" t="s">
        <v>201</v>
      </c>
    </row>
    <row r="9" spans="1:13" x14ac:dyDescent="0.2">
      <c r="A9" t="s">
        <v>185</v>
      </c>
      <c r="B9">
        <v>8</v>
      </c>
      <c r="C9">
        <v>24</v>
      </c>
      <c r="D9">
        <v>100</v>
      </c>
      <c r="E9" t="s">
        <v>51</v>
      </c>
      <c r="F9">
        <v>9834000</v>
      </c>
      <c r="G9">
        <v>116100</v>
      </c>
      <c r="H9">
        <v>283710</v>
      </c>
      <c r="I9">
        <v>49760</v>
      </c>
      <c r="J9">
        <v>449570</v>
      </c>
      <c r="K9">
        <v>4.5715883668903806E-2</v>
      </c>
      <c r="L9">
        <v>325719178</v>
      </c>
      <c r="M9">
        <v>1.380238040512309E-3</v>
      </c>
    </row>
    <row r="10" spans="1:13" x14ac:dyDescent="0.2">
      <c r="A10" t="s">
        <v>169</v>
      </c>
      <c r="B10">
        <v>9</v>
      </c>
      <c r="C10">
        <v>32</v>
      </c>
      <c r="D10">
        <v>100</v>
      </c>
      <c r="E10" t="s">
        <v>51</v>
      </c>
      <c r="F10" t="s">
        <v>201</v>
      </c>
      <c r="G10" t="s">
        <v>201</v>
      </c>
      <c r="H10" t="s">
        <v>201</v>
      </c>
      <c r="I10" t="s">
        <v>201</v>
      </c>
      <c r="J10" t="s">
        <v>201</v>
      </c>
      <c r="K10" t="s">
        <v>201</v>
      </c>
      <c r="L10">
        <v>10067744</v>
      </c>
      <c r="M10" t="s">
        <v>201</v>
      </c>
    </row>
    <row r="11" spans="1:13" x14ac:dyDescent="0.2">
      <c r="A11" t="s">
        <v>106</v>
      </c>
      <c r="B11">
        <v>10</v>
      </c>
      <c r="C11">
        <v>212</v>
      </c>
      <c r="D11">
        <v>100</v>
      </c>
      <c r="E11" t="s">
        <v>51</v>
      </c>
      <c r="F11" t="s">
        <v>201</v>
      </c>
      <c r="G11" t="s">
        <v>201</v>
      </c>
      <c r="H11" t="s">
        <v>201</v>
      </c>
      <c r="I11" t="s">
        <v>201</v>
      </c>
      <c r="J11" t="s">
        <v>201</v>
      </c>
      <c r="K11" t="s">
        <v>201</v>
      </c>
      <c r="L11">
        <v>2083160</v>
      </c>
      <c r="M11" t="s">
        <v>201</v>
      </c>
    </row>
    <row r="12" spans="1:13" x14ac:dyDescent="0.2">
      <c r="A12" t="s">
        <v>60</v>
      </c>
      <c r="B12">
        <v>12</v>
      </c>
      <c r="C12">
        <v>173</v>
      </c>
      <c r="D12">
        <v>100</v>
      </c>
      <c r="E12" t="s">
        <v>6</v>
      </c>
      <c r="F12" t="s">
        <v>201</v>
      </c>
      <c r="G12" t="s">
        <v>201</v>
      </c>
      <c r="H12" t="s">
        <v>201</v>
      </c>
      <c r="I12" t="s">
        <v>201</v>
      </c>
      <c r="J12" t="s">
        <v>201</v>
      </c>
      <c r="K12" t="s">
        <v>201</v>
      </c>
      <c r="L12">
        <v>1315480</v>
      </c>
      <c r="M12" t="s">
        <v>201</v>
      </c>
    </row>
    <row r="13" spans="1:13" x14ac:dyDescent="0.2">
      <c r="A13" t="s">
        <v>63</v>
      </c>
      <c r="B13">
        <v>13</v>
      </c>
      <c r="C13">
        <v>28</v>
      </c>
      <c r="D13">
        <v>100</v>
      </c>
      <c r="E13" t="s">
        <v>6</v>
      </c>
      <c r="F13" t="s">
        <v>201</v>
      </c>
      <c r="G13" t="s">
        <v>201</v>
      </c>
      <c r="H13" t="s">
        <v>201</v>
      </c>
      <c r="I13" t="s">
        <v>201</v>
      </c>
      <c r="J13" t="s">
        <v>201</v>
      </c>
      <c r="K13" t="s">
        <v>201</v>
      </c>
      <c r="L13">
        <v>5511303</v>
      </c>
      <c r="M13" t="s">
        <v>201</v>
      </c>
    </row>
    <row r="14" spans="1:13" x14ac:dyDescent="0.2">
      <c r="A14" t="s">
        <v>99</v>
      </c>
      <c r="B14">
        <v>14</v>
      </c>
      <c r="C14">
        <v>290</v>
      </c>
      <c r="D14">
        <v>100</v>
      </c>
      <c r="E14" t="s">
        <v>6</v>
      </c>
      <c r="F14" t="s">
        <v>201</v>
      </c>
      <c r="G14" t="s">
        <v>201</v>
      </c>
      <c r="H14" t="s">
        <v>201</v>
      </c>
      <c r="I14" t="s">
        <v>201</v>
      </c>
      <c r="J14" t="s">
        <v>201</v>
      </c>
      <c r="K14" t="s">
        <v>201</v>
      </c>
      <c r="L14">
        <v>1940740</v>
      </c>
      <c r="M14" t="s">
        <v>201</v>
      </c>
    </row>
    <row r="15" spans="1:13" x14ac:dyDescent="0.2">
      <c r="A15" t="s">
        <v>14</v>
      </c>
      <c r="B15">
        <v>15</v>
      </c>
      <c r="C15">
        <v>13</v>
      </c>
      <c r="D15">
        <v>100</v>
      </c>
      <c r="E15" t="s">
        <v>6</v>
      </c>
      <c r="F15" t="s">
        <v>201</v>
      </c>
      <c r="G15" t="s">
        <v>201</v>
      </c>
      <c r="H15" t="s">
        <v>201</v>
      </c>
      <c r="I15" t="s">
        <v>201</v>
      </c>
      <c r="J15" t="s">
        <v>201</v>
      </c>
      <c r="K15" t="s">
        <v>201</v>
      </c>
      <c r="L15">
        <v>24598933</v>
      </c>
      <c r="M15" t="s">
        <v>201</v>
      </c>
    </row>
    <row r="16" spans="1:13" x14ac:dyDescent="0.2">
      <c r="A16" t="s">
        <v>67</v>
      </c>
      <c r="B16">
        <v>16</v>
      </c>
      <c r="C16">
        <v>354</v>
      </c>
      <c r="D16">
        <v>100</v>
      </c>
      <c r="E16" t="s">
        <v>6</v>
      </c>
      <c r="F16" t="s">
        <v>201</v>
      </c>
      <c r="G16" t="s">
        <v>201</v>
      </c>
      <c r="H16" t="s">
        <v>201</v>
      </c>
      <c r="I16" t="s">
        <v>201</v>
      </c>
      <c r="J16" t="s">
        <v>201</v>
      </c>
      <c r="K16" t="s">
        <v>201</v>
      </c>
      <c r="L16">
        <v>3717100</v>
      </c>
      <c r="M16" t="s">
        <v>201</v>
      </c>
    </row>
    <row r="17" spans="1:13" x14ac:dyDescent="0.2">
      <c r="A17" t="s">
        <v>68</v>
      </c>
      <c r="B17">
        <v>17</v>
      </c>
      <c r="C17">
        <v>41</v>
      </c>
      <c r="D17">
        <v>100</v>
      </c>
      <c r="E17" t="s">
        <v>6</v>
      </c>
      <c r="F17" t="s">
        <v>201</v>
      </c>
      <c r="G17" t="s">
        <v>201</v>
      </c>
      <c r="H17" t="s">
        <v>201</v>
      </c>
      <c r="I17" t="s">
        <v>201</v>
      </c>
      <c r="J17" t="s">
        <v>201</v>
      </c>
      <c r="K17" t="s">
        <v>201</v>
      </c>
      <c r="L17">
        <v>82695000</v>
      </c>
      <c r="M17" t="s">
        <v>201</v>
      </c>
    </row>
    <row r="18" spans="1:13" x14ac:dyDescent="0.2">
      <c r="A18" t="s">
        <v>85</v>
      </c>
      <c r="B18">
        <v>18</v>
      </c>
      <c r="C18">
        <v>62</v>
      </c>
      <c r="D18">
        <v>100</v>
      </c>
      <c r="E18" t="s">
        <v>6</v>
      </c>
      <c r="F18" t="s">
        <v>201</v>
      </c>
      <c r="G18" t="s">
        <v>201</v>
      </c>
      <c r="H18" t="s">
        <v>201</v>
      </c>
      <c r="I18" t="s">
        <v>201</v>
      </c>
      <c r="J18" t="s">
        <v>201</v>
      </c>
      <c r="K18" t="s">
        <v>201</v>
      </c>
      <c r="L18">
        <v>4813608</v>
      </c>
      <c r="M18" t="s">
        <v>201</v>
      </c>
    </row>
    <row r="19" spans="1:13" x14ac:dyDescent="0.2">
      <c r="A19" t="s">
        <v>15</v>
      </c>
      <c r="B19">
        <v>19</v>
      </c>
      <c r="C19">
        <v>96</v>
      </c>
      <c r="D19">
        <v>100</v>
      </c>
      <c r="E19" t="s">
        <v>6</v>
      </c>
      <c r="F19" t="s">
        <v>201</v>
      </c>
      <c r="G19" t="s">
        <v>201</v>
      </c>
      <c r="H19" t="s">
        <v>201</v>
      </c>
      <c r="I19" t="s">
        <v>201</v>
      </c>
      <c r="J19" t="s">
        <v>201</v>
      </c>
      <c r="K19" t="s">
        <v>201</v>
      </c>
      <c r="L19">
        <v>8809212</v>
      </c>
      <c r="M19" t="s">
        <v>201</v>
      </c>
    </row>
    <row r="20" spans="1:13" x14ac:dyDescent="0.2">
      <c r="A20" t="s">
        <v>80</v>
      </c>
      <c r="B20">
        <v>20</v>
      </c>
      <c r="C20">
        <v>11</v>
      </c>
      <c r="D20">
        <v>100</v>
      </c>
      <c r="E20" t="s">
        <v>6</v>
      </c>
      <c r="F20" t="s">
        <v>201</v>
      </c>
      <c r="G20" t="s">
        <v>201</v>
      </c>
      <c r="H20" t="s">
        <v>201</v>
      </c>
      <c r="I20" t="s">
        <v>201</v>
      </c>
      <c r="J20" t="s">
        <v>201</v>
      </c>
      <c r="K20" t="s">
        <v>201</v>
      </c>
      <c r="L20">
        <v>341284</v>
      </c>
      <c r="M20" t="s">
        <v>201</v>
      </c>
    </row>
    <row r="21" spans="1:13" x14ac:dyDescent="0.2">
      <c r="A21" t="s">
        <v>104</v>
      </c>
      <c r="B21">
        <v>21</v>
      </c>
      <c r="C21">
        <v>44</v>
      </c>
      <c r="D21">
        <v>100</v>
      </c>
      <c r="E21" t="s">
        <v>6</v>
      </c>
      <c r="F21" t="s">
        <v>201</v>
      </c>
      <c r="G21" t="s">
        <v>201</v>
      </c>
      <c r="H21" t="s">
        <v>201</v>
      </c>
      <c r="I21" t="s">
        <v>201</v>
      </c>
      <c r="J21" t="s">
        <v>201</v>
      </c>
      <c r="K21" t="s">
        <v>201</v>
      </c>
      <c r="L21">
        <v>2827721</v>
      </c>
      <c r="M21" t="s">
        <v>201</v>
      </c>
    </row>
    <row r="22" spans="1:13" x14ac:dyDescent="0.2">
      <c r="A22" t="s">
        <v>36</v>
      </c>
      <c r="B22">
        <v>22</v>
      </c>
      <c r="C22">
        <v>126</v>
      </c>
      <c r="D22">
        <v>100</v>
      </c>
      <c r="E22" t="s">
        <v>6</v>
      </c>
      <c r="F22" t="s">
        <v>201</v>
      </c>
      <c r="G22" t="s">
        <v>201</v>
      </c>
      <c r="H22" t="s">
        <v>201</v>
      </c>
      <c r="I22" t="s">
        <v>201</v>
      </c>
      <c r="J22" t="s">
        <v>201</v>
      </c>
      <c r="K22" t="s">
        <v>201</v>
      </c>
      <c r="L22">
        <v>36708083</v>
      </c>
      <c r="M22" t="s">
        <v>201</v>
      </c>
    </row>
    <row r="23" spans="1:13" x14ac:dyDescent="0.2">
      <c r="A23" t="s">
        <v>109</v>
      </c>
      <c r="B23">
        <v>23</v>
      </c>
      <c r="C23">
        <v>27</v>
      </c>
      <c r="D23">
        <v>100</v>
      </c>
      <c r="E23" t="s">
        <v>6</v>
      </c>
      <c r="F23" t="s">
        <v>201</v>
      </c>
      <c r="G23" t="s">
        <v>201</v>
      </c>
      <c r="H23" t="s">
        <v>201</v>
      </c>
      <c r="I23" t="s">
        <v>201</v>
      </c>
      <c r="J23" t="s">
        <v>201</v>
      </c>
      <c r="K23" t="s">
        <v>201</v>
      </c>
      <c r="L23">
        <v>31624264</v>
      </c>
      <c r="M23" t="s">
        <v>201</v>
      </c>
    </row>
    <row r="24" spans="1:13" x14ac:dyDescent="0.2">
      <c r="A24" t="s">
        <v>140</v>
      </c>
      <c r="B24">
        <v>24</v>
      </c>
      <c r="C24">
        <v>19</v>
      </c>
      <c r="D24">
        <v>100</v>
      </c>
      <c r="E24" t="s">
        <v>6</v>
      </c>
      <c r="F24" t="s">
        <v>201</v>
      </c>
      <c r="G24" t="s">
        <v>201</v>
      </c>
      <c r="H24" t="s">
        <v>201</v>
      </c>
      <c r="I24" t="s">
        <v>201</v>
      </c>
      <c r="J24" t="s">
        <v>201</v>
      </c>
      <c r="K24" t="s">
        <v>201</v>
      </c>
      <c r="L24">
        <v>37975841</v>
      </c>
      <c r="M24" t="s">
        <v>201</v>
      </c>
    </row>
    <row r="25" spans="1:13" x14ac:dyDescent="0.2">
      <c r="A25" t="s">
        <v>141</v>
      </c>
      <c r="B25">
        <v>25</v>
      </c>
      <c r="C25">
        <v>37</v>
      </c>
      <c r="D25">
        <v>100</v>
      </c>
      <c r="E25" t="s">
        <v>6</v>
      </c>
      <c r="F25" t="s">
        <v>201</v>
      </c>
      <c r="G25" t="s">
        <v>201</v>
      </c>
      <c r="H25" t="s">
        <v>201</v>
      </c>
      <c r="I25" t="s">
        <v>201</v>
      </c>
      <c r="J25" t="s">
        <v>201</v>
      </c>
      <c r="K25" t="s">
        <v>201</v>
      </c>
      <c r="L25">
        <v>10293718</v>
      </c>
      <c r="M25" t="s">
        <v>201</v>
      </c>
    </row>
    <row r="26" spans="1:13" x14ac:dyDescent="0.2">
      <c r="A26" t="s">
        <v>183</v>
      </c>
      <c r="B26">
        <v>26</v>
      </c>
      <c r="C26">
        <v>25</v>
      </c>
      <c r="D26">
        <v>100</v>
      </c>
      <c r="E26" t="s">
        <v>6</v>
      </c>
      <c r="F26" t="s">
        <v>201</v>
      </c>
      <c r="G26" t="s">
        <v>201</v>
      </c>
      <c r="H26" t="s">
        <v>201</v>
      </c>
      <c r="I26" t="s">
        <v>201</v>
      </c>
      <c r="J26" t="s">
        <v>201</v>
      </c>
      <c r="K26" t="s">
        <v>201</v>
      </c>
      <c r="L26">
        <v>9400145</v>
      </c>
      <c r="M26" t="s">
        <v>201</v>
      </c>
    </row>
    <row r="27" spans="1:13" x14ac:dyDescent="0.2">
      <c r="A27" t="s">
        <v>49</v>
      </c>
      <c r="B27">
        <v>27</v>
      </c>
      <c r="C27">
        <v>25</v>
      </c>
      <c r="D27">
        <v>100</v>
      </c>
      <c r="E27" t="s">
        <v>6</v>
      </c>
      <c r="F27" t="s">
        <v>201</v>
      </c>
      <c r="G27" t="s">
        <v>201</v>
      </c>
      <c r="H27" t="s">
        <v>201</v>
      </c>
      <c r="I27" t="s">
        <v>201</v>
      </c>
      <c r="J27" t="s">
        <v>201</v>
      </c>
      <c r="K27" t="s">
        <v>201</v>
      </c>
      <c r="L27">
        <v>10591323</v>
      </c>
      <c r="M27" t="s">
        <v>201</v>
      </c>
    </row>
    <row r="28" spans="1:13" x14ac:dyDescent="0.2">
      <c r="A28" t="s">
        <v>126</v>
      </c>
      <c r="B28">
        <v>28</v>
      </c>
      <c r="C28">
        <v>30</v>
      </c>
      <c r="D28">
        <v>100</v>
      </c>
      <c r="E28" t="s">
        <v>6</v>
      </c>
      <c r="F28" t="s">
        <v>201</v>
      </c>
      <c r="G28" t="s">
        <v>201</v>
      </c>
      <c r="H28" t="s">
        <v>201</v>
      </c>
      <c r="I28" t="s">
        <v>201</v>
      </c>
      <c r="J28" t="s">
        <v>201</v>
      </c>
      <c r="K28" t="s">
        <v>201</v>
      </c>
      <c r="L28">
        <v>17132854</v>
      </c>
      <c r="M28" t="s">
        <v>201</v>
      </c>
    </row>
    <row r="29" spans="1:13" x14ac:dyDescent="0.2">
      <c r="A29" t="s">
        <v>64</v>
      </c>
      <c r="B29">
        <v>29</v>
      </c>
      <c r="C29">
        <v>6</v>
      </c>
      <c r="D29">
        <v>100</v>
      </c>
      <c r="E29" t="s">
        <v>6</v>
      </c>
      <c r="F29" t="s">
        <v>201</v>
      </c>
      <c r="G29" t="s">
        <v>201</v>
      </c>
      <c r="H29" t="s">
        <v>201</v>
      </c>
      <c r="I29" t="s">
        <v>201</v>
      </c>
      <c r="J29" t="s">
        <v>201</v>
      </c>
      <c r="K29" t="s">
        <v>201</v>
      </c>
      <c r="L29">
        <v>67118648</v>
      </c>
      <c r="M29" t="s">
        <v>201</v>
      </c>
    </row>
    <row r="30" spans="1:13" x14ac:dyDescent="0.2">
      <c r="A30" t="s">
        <v>157</v>
      </c>
      <c r="B30">
        <v>30</v>
      </c>
      <c r="C30">
        <v>110</v>
      </c>
      <c r="D30">
        <v>100</v>
      </c>
      <c r="E30" t="s">
        <v>6</v>
      </c>
      <c r="F30" t="s">
        <v>201</v>
      </c>
      <c r="G30" t="s">
        <v>201</v>
      </c>
      <c r="H30" t="s">
        <v>201</v>
      </c>
      <c r="I30" t="s">
        <v>201</v>
      </c>
      <c r="J30" t="s">
        <v>201</v>
      </c>
      <c r="K30" t="s">
        <v>201</v>
      </c>
      <c r="L30">
        <v>2066748</v>
      </c>
      <c r="M30" t="s">
        <v>201</v>
      </c>
    </row>
    <row r="31" spans="1:13" x14ac:dyDescent="0.2">
      <c r="A31" t="s">
        <v>170</v>
      </c>
      <c r="B31">
        <v>31</v>
      </c>
      <c r="C31">
        <v>59</v>
      </c>
      <c r="D31">
        <v>100</v>
      </c>
      <c r="E31" t="s">
        <v>6</v>
      </c>
      <c r="F31" t="s">
        <v>201</v>
      </c>
      <c r="G31" t="s">
        <v>201</v>
      </c>
      <c r="H31" t="s">
        <v>201</v>
      </c>
      <c r="I31" t="s">
        <v>201</v>
      </c>
      <c r="J31" t="s">
        <v>201</v>
      </c>
      <c r="K31" t="s">
        <v>201</v>
      </c>
      <c r="L31">
        <v>8466017</v>
      </c>
      <c r="M31" t="s">
        <v>201</v>
      </c>
    </row>
    <row r="32" spans="1:13" x14ac:dyDescent="0.2">
      <c r="A32" t="s">
        <v>162</v>
      </c>
      <c r="B32">
        <v>32</v>
      </c>
      <c r="C32">
        <v>103</v>
      </c>
      <c r="D32">
        <v>100</v>
      </c>
      <c r="E32" t="s">
        <v>6</v>
      </c>
      <c r="F32" t="s">
        <v>201</v>
      </c>
      <c r="G32" t="s">
        <v>201</v>
      </c>
      <c r="H32" t="s">
        <v>201</v>
      </c>
      <c r="I32" t="s">
        <v>201</v>
      </c>
      <c r="J32" t="s">
        <v>201</v>
      </c>
      <c r="K32" t="s">
        <v>201</v>
      </c>
      <c r="L32">
        <v>46572028</v>
      </c>
      <c r="M32" t="s">
        <v>201</v>
      </c>
    </row>
    <row r="33" spans="1:13" x14ac:dyDescent="0.2">
      <c r="A33" t="s">
        <v>156</v>
      </c>
      <c r="B33">
        <v>33</v>
      </c>
      <c r="C33">
        <v>53</v>
      </c>
      <c r="D33">
        <v>100</v>
      </c>
      <c r="E33" t="s">
        <v>6</v>
      </c>
      <c r="F33" t="s">
        <v>201</v>
      </c>
      <c r="G33" t="s">
        <v>201</v>
      </c>
      <c r="H33" t="s">
        <v>201</v>
      </c>
      <c r="I33" t="s">
        <v>201</v>
      </c>
      <c r="J33" t="s">
        <v>201</v>
      </c>
      <c r="K33" t="s">
        <v>201</v>
      </c>
      <c r="L33">
        <v>5439892</v>
      </c>
      <c r="M33" t="s">
        <v>201</v>
      </c>
    </row>
    <row r="34" spans="1:13" x14ac:dyDescent="0.2">
      <c r="A34" t="s">
        <v>89</v>
      </c>
      <c r="B34">
        <v>34</v>
      </c>
      <c r="C34">
        <v>0</v>
      </c>
      <c r="D34">
        <v>100</v>
      </c>
      <c r="E34" t="s">
        <v>6</v>
      </c>
      <c r="F34" t="s">
        <v>201</v>
      </c>
      <c r="G34" t="s">
        <v>201</v>
      </c>
      <c r="H34" t="s">
        <v>201</v>
      </c>
      <c r="I34" t="s">
        <v>201</v>
      </c>
      <c r="J34" t="s">
        <v>201</v>
      </c>
      <c r="K34" t="s">
        <v>201</v>
      </c>
      <c r="L34">
        <v>126785797</v>
      </c>
      <c r="M34" t="s">
        <v>201</v>
      </c>
    </row>
    <row r="35" spans="1:13" x14ac:dyDescent="0.2">
      <c r="A35" t="s">
        <v>91</v>
      </c>
      <c r="B35">
        <v>35</v>
      </c>
      <c r="C35">
        <v>51</v>
      </c>
      <c r="D35">
        <v>100</v>
      </c>
      <c r="E35" t="s">
        <v>6</v>
      </c>
      <c r="F35" t="s">
        <v>201</v>
      </c>
      <c r="G35" t="s">
        <v>201</v>
      </c>
      <c r="H35" t="s">
        <v>201</v>
      </c>
      <c r="I35" t="s">
        <v>201</v>
      </c>
      <c r="J35" t="s">
        <v>201</v>
      </c>
      <c r="K35" t="s">
        <v>201</v>
      </c>
      <c r="L35">
        <v>18037646</v>
      </c>
      <c r="M35" t="s">
        <v>201</v>
      </c>
    </row>
    <row r="36" spans="1:13" x14ac:dyDescent="0.2">
      <c r="A36" t="s">
        <v>144</v>
      </c>
      <c r="B36">
        <v>36</v>
      </c>
      <c r="C36">
        <v>547</v>
      </c>
      <c r="D36">
        <v>100</v>
      </c>
      <c r="E36" t="s">
        <v>6</v>
      </c>
      <c r="F36" t="s">
        <v>201</v>
      </c>
      <c r="G36" t="s">
        <v>201</v>
      </c>
      <c r="H36" t="s">
        <v>201</v>
      </c>
      <c r="I36" t="s">
        <v>201</v>
      </c>
      <c r="J36" t="s">
        <v>201</v>
      </c>
      <c r="K36" t="s">
        <v>201</v>
      </c>
      <c r="L36">
        <v>19586539</v>
      </c>
      <c r="M36" t="s">
        <v>201</v>
      </c>
    </row>
    <row r="37" spans="1:13" x14ac:dyDescent="0.2">
      <c r="A37" t="s">
        <v>21</v>
      </c>
      <c r="B37">
        <v>37</v>
      </c>
      <c r="C37">
        <v>119</v>
      </c>
      <c r="D37">
        <v>100</v>
      </c>
      <c r="E37" t="s">
        <v>6</v>
      </c>
      <c r="F37" t="s">
        <v>201</v>
      </c>
      <c r="G37" t="s">
        <v>201</v>
      </c>
      <c r="H37" t="s">
        <v>201</v>
      </c>
      <c r="I37" t="s">
        <v>201</v>
      </c>
      <c r="J37" t="s">
        <v>201</v>
      </c>
      <c r="K37" t="s">
        <v>201</v>
      </c>
      <c r="L37">
        <v>9507875</v>
      </c>
      <c r="M37" t="s">
        <v>201</v>
      </c>
    </row>
    <row r="38" spans="1:13" x14ac:dyDescent="0.2">
      <c r="A38" t="s">
        <v>13</v>
      </c>
      <c r="B38">
        <v>38</v>
      </c>
      <c r="C38">
        <v>80</v>
      </c>
      <c r="D38">
        <v>100</v>
      </c>
      <c r="E38" t="s">
        <v>6</v>
      </c>
      <c r="F38" t="s">
        <v>201</v>
      </c>
      <c r="G38" t="s">
        <v>201</v>
      </c>
      <c r="H38" t="s">
        <v>201</v>
      </c>
      <c r="I38" t="s">
        <v>201</v>
      </c>
      <c r="J38" t="s">
        <v>201</v>
      </c>
      <c r="K38" t="s">
        <v>201</v>
      </c>
      <c r="L38">
        <v>2930450</v>
      </c>
      <c r="M38" t="s">
        <v>201</v>
      </c>
    </row>
    <row r="39" spans="1:13" x14ac:dyDescent="0.2">
      <c r="A39" t="s">
        <v>31</v>
      </c>
      <c r="B39">
        <v>39</v>
      </c>
      <c r="C39">
        <v>374</v>
      </c>
      <c r="D39">
        <v>100</v>
      </c>
      <c r="E39" t="s">
        <v>6</v>
      </c>
      <c r="F39" t="s">
        <v>201</v>
      </c>
      <c r="G39" t="s">
        <v>201</v>
      </c>
      <c r="H39" t="s">
        <v>201</v>
      </c>
      <c r="I39" t="s">
        <v>201</v>
      </c>
      <c r="J39" t="s">
        <v>201</v>
      </c>
      <c r="K39" t="s">
        <v>201</v>
      </c>
      <c r="L39">
        <v>7075991</v>
      </c>
      <c r="M39" t="s">
        <v>201</v>
      </c>
    </row>
    <row r="40" spans="1:13" x14ac:dyDescent="0.2">
      <c r="A40" t="s">
        <v>145</v>
      </c>
      <c r="B40">
        <v>40</v>
      </c>
      <c r="C40">
        <v>44</v>
      </c>
      <c r="D40">
        <v>100</v>
      </c>
      <c r="E40" t="s">
        <v>6</v>
      </c>
      <c r="F40" t="s">
        <v>201</v>
      </c>
      <c r="G40" t="s">
        <v>201</v>
      </c>
      <c r="H40" t="s">
        <v>201</v>
      </c>
      <c r="I40" t="s">
        <v>201</v>
      </c>
      <c r="J40" t="s">
        <v>201</v>
      </c>
      <c r="K40" t="s">
        <v>201</v>
      </c>
      <c r="L40">
        <v>144495044</v>
      </c>
      <c r="M40" t="s">
        <v>201</v>
      </c>
    </row>
    <row r="41" spans="1:13" x14ac:dyDescent="0.2">
      <c r="A41" t="s">
        <v>79</v>
      </c>
      <c r="B41">
        <v>41</v>
      </c>
      <c r="C41">
        <v>94</v>
      </c>
      <c r="D41">
        <v>100</v>
      </c>
      <c r="E41" t="s">
        <v>6</v>
      </c>
      <c r="F41" t="s">
        <v>201</v>
      </c>
      <c r="G41" t="s">
        <v>201</v>
      </c>
      <c r="H41" t="s">
        <v>201</v>
      </c>
      <c r="I41" t="s">
        <v>201</v>
      </c>
      <c r="J41" t="s">
        <v>201</v>
      </c>
      <c r="K41" t="s">
        <v>201</v>
      </c>
      <c r="L41">
        <v>9781127</v>
      </c>
      <c r="M41" t="s">
        <v>201</v>
      </c>
    </row>
    <row r="42" spans="1:13" x14ac:dyDescent="0.2">
      <c r="A42" t="s">
        <v>22</v>
      </c>
      <c r="B42">
        <v>42</v>
      </c>
      <c r="C42">
        <v>102</v>
      </c>
      <c r="D42">
        <v>100</v>
      </c>
      <c r="E42" t="s">
        <v>6</v>
      </c>
      <c r="F42" t="s">
        <v>201</v>
      </c>
      <c r="G42" t="s">
        <v>201</v>
      </c>
      <c r="H42" t="s">
        <v>201</v>
      </c>
      <c r="I42" t="s">
        <v>201</v>
      </c>
      <c r="J42" t="s">
        <v>201</v>
      </c>
      <c r="K42" t="s">
        <v>201</v>
      </c>
      <c r="L42">
        <v>11372068</v>
      </c>
      <c r="M42" t="s">
        <v>201</v>
      </c>
    </row>
    <row r="43" spans="1:13" x14ac:dyDescent="0.2">
      <c r="A43" t="s">
        <v>47</v>
      </c>
      <c r="B43">
        <v>43</v>
      </c>
      <c r="C43">
        <v>303</v>
      </c>
      <c r="D43">
        <v>100</v>
      </c>
      <c r="E43" t="s">
        <v>6</v>
      </c>
      <c r="F43" t="s">
        <v>201</v>
      </c>
      <c r="G43" t="s">
        <v>201</v>
      </c>
      <c r="H43" t="s">
        <v>201</v>
      </c>
      <c r="I43" t="s">
        <v>201</v>
      </c>
      <c r="J43" t="s">
        <v>201</v>
      </c>
      <c r="K43" t="s">
        <v>201</v>
      </c>
      <c r="L43">
        <v>4125700</v>
      </c>
      <c r="M43" t="s">
        <v>201</v>
      </c>
    </row>
    <row r="44" spans="1:13" x14ac:dyDescent="0.2">
      <c r="A44" t="s">
        <v>118</v>
      </c>
      <c r="B44">
        <v>44</v>
      </c>
      <c r="C44">
        <v>738</v>
      </c>
      <c r="D44">
        <v>100</v>
      </c>
      <c r="E44" t="s">
        <v>6</v>
      </c>
      <c r="F44" t="s">
        <v>201</v>
      </c>
      <c r="G44" t="s">
        <v>201</v>
      </c>
      <c r="H44" t="s">
        <v>201</v>
      </c>
      <c r="I44" t="s">
        <v>201</v>
      </c>
      <c r="J44" t="s">
        <v>201</v>
      </c>
      <c r="K44" t="s">
        <v>201</v>
      </c>
      <c r="L44">
        <v>3549750</v>
      </c>
      <c r="M44" t="s">
        <v>201</v>
      </c>
    </row>
    <row r="45" spans="1:13" x14ac:dyDescent="0.2">
      <c r="A45" t="s">
        <v>48</v>
      </c>
      <c r="B45">
        <v>45</v>
      </c>
      <c r="C45">
        <v>130</v>
      </c>
      <c r="D45">
        <v>100</v>
      </c>
      <c r="E45" t="s">
        <v>6</v>
      </c>
      <c r="F45" t="s">
        <v>201</v>
      </c>
      <c r="G45" t="s">
        <v>201</v>
      </c>
      <c r="H45" t="s">
        <v>201</v>
      </c>
      <c r="I45" t="s">
        <v>201</v>
      </c>
      <c r="J45" t="s">
        <v>201</v>
      </c>
      <c r="K45" t="s">
        <v>201</v>
      </c>
      <c r="L45">
        <v>1179551</v>
      </c>
      <c r="M45" t="s">
        <v>201</v>
      </c>
    </row>
    <row r="46" spans="1:13" x14ac:dyDescent="0.2">
      <c r="A46" t="s">
        <v>174</v>
      </c>
      <c r="B46">
        <v>46</v>
      </c>
      <c r="C46">
        <v>43</v>
      </c>
      <c r="D46">
        <v>100</v>
      </c>
      <c r="E46" t="s">
        <v>6</v>
      </c>
      <c r="F46" t="s">
        <v>201</v>
      </c>
      <c r="G46" t="s">
        <v>201</v>
      </c>
      <c r="H46" t="s">
        <v>201</v>
      </c>
      <c r="I46" t="s">
        <v>201</v>
      </c>
      <c r="J46" t="s">
        <v>201</v>
      </c>
      <c r="K46" t="s">
        <v>201</v>
      </c>
      <c r="L46">
        <v>69037513</v>
      </c>
      <c r="M46" t="s">
        <v>201</v>
      </c>
    </row>
    <row r="47" spans="1:13" x14ac:dyDescent="0.2">
      <c r="A47" t="s">
        <v>116</v>
      </c>
      <c r="B47">
        <v>47</v>
      </c>
      <c r="C47">
        <v>337</v>
      </c>
      <c r="D47">
        <v>100</v>
      </c>
      <c r="E47" t="s">
        <v>6</v>
      </c>
      <c r="F47" t="s">
        <v>201</v>
      </c>
      <c r="G47" t="s">
        <v>201</v>
      </c>
      <c r="H47" t="s">
        <v>201</v>
      </c>
      <c r="I47" t="s">
        <v>201</v>
      </c>
      <c r="J47" t="s">
        <v>201</v>
      </c>
      <c r="K47" t="s">
        <v>201</v>
      </c>
      <c r="L47">
        <v>129163276</v>
      </c>
      <c r="M47" t="s">
        <v>201</v>
      </c>
    </row>
    <row r="48" spans="1:13" x14ac:dyDescent="0.2">
      <c r="A48" t="s">
        <v>152</v>
      </c>
      <c r="B48">
        <v>47</v>
      </c>
      <c r="C48">
        <v>236</v>
      </c>
      <c r="D48">
        <v>100</v>
      </c>
      <c r="E48" t="s">
        <v>6</v>
      </c>
      <c r="F48" t="s">
        <v>201</v>
      </c>
      <c r="G48" t="s">
        <v>201</v>
      </c>
      <c r="H48" t="s">
        <v>201</v>
      </c>
      <c r="I48" t="s">
        <v>201</v>
      </c>
      <c r="J48" t="s">
        <v>201</v>
      </c>
      <c r="K48" t="s">
        <v>201</v>
      </c>
      <c r="L48">
        <v>7022268</v>
      </c>
      <c r="M48" t="s">
        <v>201</v>
      </c>
    </row>
    <row r="49" spans="1:13" x14ac:dyDescent="0.2">
      <c r="A49" t="s">
        <v>115</v>
      </c>
      <c r="B49">
        <v>49</v>
      </c>
      <c r="C49">
        <v>248</v>
      </c>
      <c r="D49">
        <v>99</v>
      </c>
      <c r="E49" t="s">
        <v>10</v>
      </c>
      <c r="F49" t="s">
        <v>201</v>
      </c>
      <c r="G49" t="s">
        <v>201</v>
      </c>
      <c r="H49" t="s">
        <v>201</v>
      </c>
      <c r="I49" t="s">
        <v>201</v>
      </c>
      <c r="J49" t="s">
        <v>201</v>
      </c>
      <c r="K49" t="s">
        <v>201</v>
      </c>
      <c r="L49">
        <v>1264613</v>
      </c>
      <c r="M49" t="s">
        <v>201</v>
      </c>
    </row>
    <row r="50" spans="1:13" x14ac:dyDescent="0.2">
      <c r="A50" t="s">
        <v>87</v>
      </c>
      <c r="B50">
        <v>50</v>
      </c>
      <c r="C50">
        <v>158</v>
      </c>
      <c r="D50">
        <v>100</v>
      </c>
      <c r="E50" t="s">
        <v>6</v>
      </c>
      <c r="F50" t="s">
        <v>201</v>
      </c>
      <c r="G50" t="s">
        <v>201</v>
      </c>
      <c r="H50" t="s">
        <v>201</v>
      </c>
      <c r="I50" t="s">
        <v>201</v>
      </c>
      <c r="J50" t="s">
        <v>201</v>
      </c>
      <c r="K50" t="s">
        <v>201</v>
      </c>
      <c r="L50">
        <v>60551416</v>
      </c>
      <c r="M50" t="s">
        <v>201</v>
      </c>
    </row>
    <row r="51" spans="1:13" x14ac:dyDescent="0.2">
      <c r="A51" t="s">
        <v>120</v>
      </c>
      <c r="B51">
        <v>51</v>
      </c>
      <c r="C51">
        <v>441</v>
      </c>
      <c r="D51">
        <v>100</v>
      </c>
      <c r="E51" t="s">
        <v>6</v>
      </c>
      <c r="F51" t="s">
        <v>201</v>
      </c>
      <c r="G51" t="s">
        <v>201</v>
      </c>
      <c r="H51" t="s">
        <v>201</v>
      </c>
      <c r="I51" t="s">
        <v>201</v>
      </c>
      <c r="J51" t="s">
        <v>201</v>
      </c>
      <c r="K51" t="s">
        <v>201</v>
      </c>
      <c r="L51">
        <v>622471</v>
      </c>
      <c r="M51" t="s">
        <v>201</v>
      </c>
    </row>
    <row r="52" spans="1:13" x14ac:dyDescent="0.2">
      <c r="A52" t="s">
        <v>86</v>
      </c>
      <c r="B52">
        <v>52</v>
      </c>
      <c r="C52">
        <v>15</v>
      </c>
      <c r="D52">
        <v>100</v>
      </c>
      <c r="E52" t="s">
        <v>6</v>
      </c>
      <c r="F52" t="s">
        <v>201</v>
      </c>
      <c r="G52" t="s">
        <v>201</v>
      </c>
      <c r="H52" t="s">
        <v>201</v>
      </c>
      <c r="I52" t="s">
        <v>201</v>
      </c>
      <c r="J52" t="s">
        <v>201</v>
      </c>
      <c r="K52" t="s">
        <v>201</v>
      </c>
      <c r="L52">
        <v>8712400</v>
      </c>
      <c r="M52" t="s">
        <v>201</v>
      </c>
    </row>
    <row r="53" spans="1:13" x14ac:dyDescent="0.2">
      <c r="A53" t="s">
        <v>41</v>
      </c>
      <c r="B53">
        <v>53</v>
      </c>
      <c r="C53">
        <v>581</v>
      </c>
      <c r="D53">
        <v>99</v>
      </c>
      <c r="E53" t="s">
        <v>6</v>
      </c>
      <c r="F53" t="s">
        <v>201</v>
      </c>
      <c r="G53" t="s">
        <v>201</v>
      </c>
      <c r="H53" t="s">
        <v>201</v>
      </c>
      <c r="I53" t="s">
        <v>201</v>
      </c>
      <c r="J53" t="s">
        <v>201</v>
      </c>
      <c r="K53" t="s">
        <v>201</v>
      </c>
      <c r="L53">
        <v>49065615</v>
      </c>
      <c r="M53" t="s">
        <v>201</v>
      </c>
    </row>
    <row r="54" spans="1:13" x14ac:dyDescent="0.2">
      <c r="A54" t="s">
        <v>138</v>
      </c>
      <c r="B54">
        <v>54</v>
      </c>
      <c r="C54">
        <v>336</v>
      </c>
      <c r="D54">
        <v>95</v>
      </c>
      <c r="E54" t="s">
        <v>6</v>
      </c>
      <c r="F54" t="s">
        <v>201</v>
      </c>
      <c r="G54" t="s">
        <v>201</v>
      </c>
      <c r="H54" t="s">
        <v>201</v>
      </c>
      <c r="I54" t="s">
        <v>201</v>
      </c>
      <c r="J54" t="s">
        <v>201</v>
      </c>
      <c r="K54" t="s">
        <v>201</v>
      </c>
      <c r="L54">
        <v>32165485</v>
      </c>
      <c r="M54" t="s">
        <v>201</v>
      </c>
    </row>
    <row r="55" spans="1:13" x14ac:dyDescent="0.2">
      <c r="A55" t="s">
        <v>142</v>
      </c>
      <c r="B55">
        <v>55</v>
      </c>
      <c r="C55">
        <v>354</v>
      </c>
      <c r="D55">
        <v>100</v>
      </c>
      <c r="E55" t="s">
        <v>6</v>
      </c>
      <c r="F55" t="s">
        <v>201</v>
      </c>
      <c r="G55" t="s">
        <v>201</v>
      </c>
      <c r="H55" t="s">
        <v>201</v>
      </c>
      <c r="I55" t="s">
        <v>201</v>
      </c>
      <c r="J55" t="s">
        <v>201</v>
      </c>
      <c r="K55" t="s">
        <v>201</v>
      </c>
      <c r="L55">
        <v>3337177</v>
      </c>
      <c r="M55" t="s">
        <v>201</v>
      </c>
    </row>
    <row r="56" spans="1:13" x14ac:dyDescent="0.2">
      <c r="A56" t="s">
        <v>146</v>
      </c>
      <c r="B56">
        <v>56</v>
      </c>
      <c r="C56">
        <v>2723</v>
      </c>
      <c r="D56">
        <v>29</v>
      </c>
      <c r="E56" t="s">
        <v>10</v>
      </c>
      <c r="F56">
        <v>25206</v>
      </c>
      <c r="G56">
        <v>789</v>
      </c>
      <c r="H56">
        <v>892</v>
      </c>
      <c r="I56">
        <v>0</v>
      </c>
      <c r="J56">
        <v>1681</v>
      </c>
      <c r="K56">
        <v>6.6690470522891371E-2</v>
      </c>
      <c r="L56">
        <v>12208407</v>
      </c>
      <c r="M56">
        <v>1.3769200191310791E-4</v>
      </c>
    </row>
    <row r="57" spans="1:13" x14ac:dyDescent="0.2">
      <c r="A57" t="s">
        <v>39</v>
      </c>
      <c r="B57">
        <v>57</v>
      </c>
      <c r="C57">
        <v>71</v>
      </c>
      <c r="D57">
        <v>100</v>
      </c>
      <c r="E57" t="s">
        <v>6</v>
      </c>
      <c r="F57" t="s">
        <v>201</v>
      </c>
      <c r="G57" t="s">
        <v>201</v>
      </c>
      <c r="H57" t="s">
        <v>201</v>
      </c>
      <c r="I57" t="s">
        <v>201</v>
      </c>
      <c r="J57" t="s">
        <v>201</v>
      </c>
      <c r="K57" t="s">
        <v>201</v>
      </c>
      <c r="L57">
        <v>18054726</v>
      </c>
      <c r="M57" t="s">
        <v>201</v>
      </c>
    </row>
    <row r="58" spans="1:13" x14ac:dyDescent="0.2">
      <c r="A58" t="s">
        <v>7</v>
      </c>
      <c r="B58">
        <v>58</v>
      </c>
      <c r="C58">
        <v>516</v>
      </c>
      <c r="D58">
        <v>100</v>
      </c>
      <c r="E58" t="s">
        <v>6</v>
      </c>
      <c r="F58" t="s">
        <v>201</v>
      </c>
      <c r="G58" t="s">
        <v>201</v>
      </c>
      <c r="H58" t="s">
        <v>201</v>
      </c>
      <c r="I58" t="s">
        <v>201</v>
      </c>
      <c r="J58" t="s">
        <v>201</v>
      </c>
      <c r="K58" t="s">
        <v>201</v>
      </c>
      <c r="L58">
        <v>2873457</v>
      </c>
      <c r="M58" t="s">
        <v>201</v>
      </c>
    </row>
    <row r="59" spans="1:13" x14ac:dyDescent="0.2">
      <c r="A59" t="s">
        <v>105</v>
      </c>
      <c r="B59">
        <v>59</v>
      </c>
      <c r="C59">
        <v>36</v>
      </c>
      <c r="D59">
        <v>100</v>
      </c>
      <c r="E59" t="s">
        <v>6</v>
      </c>
      <c r="F59" t="s">
        <v>201</v>
      </c>
      <c r="G59" t="s">
        <v>201</v>
      </c>
      <c r="H59" t="s">
        <v>201</v>
      </c>
      <c r="I59" t="s">
        <v>201</v>
      </c>
      <c r="J59" t="s">
        <v>201</v>
      </c>
      <c r="K59" t="s">
        <v>201</v>
      </c>
      <c r="L59">
        <v>599449</v>
      </c>
      <c r="M59" t="s">
        <v>201</v>
      </c>
    </row>
    <row r="60" spans="1:13" x14ac:dyDescent="0.2">
      <c r="A60" t="s">
        <v>95</v>
      </c>
      <c r="B60">
        <v>60</v>
      </c>
      <c r="C60">
        <v>225</v>
      </c>
      <c r="D60">
        <v>100</v>
      </c>
      <c r="E60" t="s">
        <v>6</v>
      </c>
      <c r="F60" t="s">
        <v>201</v>
      </c>
      <c r="G60" t="s">
        <v>201</v>
      </c>
      <c r="H60" t="s">
        <v>201</v>
      </c>
      <c r="I60" t="s">
        <v>201</v>
      </c>
      <c r="J60" t="s">
        <v>201</v>
      </c>
      <c r="K60" t="s">
        <v>201</v>
      </c>
      <c r="L60">
        <v>1830700</v>
      </c>
      <c r="M60" t="s">
        <v>201</v>
      </c>
    </row>
    <row r="61" spans="1:13" x14ac:dyDescent="0.2">
      <c r="A61" t="s">
        <v>70</v>
      </c>
      <c r="B61">
        <v>61</v>
      </c>
      <c r="C61">
        <v>70</v>
      </c>
      <c r="D61">
        <v>100</v>
      </c>
      <c r="E61" t="s">
        <v>6</v>
      </c>
      <c r="F61" t="s">
        <v>201</v>
      </c>
      <c r="G61" t="s">
        <v>201</v>
      </c>
      <c r="H61" t="s">
        <v>201</v>
      </c>
      <c r="I61" t="s">
        <v>201</v>
      </c>
      <c r="J61" t="s">
        <v>201</v>
      </c>
      <c r="K61" t="s">
        <v>201</v>
      </c>
      <c r="L61">
        <v>10760421</v>
      </c>
      <c r="M61" t="s">
        <v>201</v>
      </c>
    </row>
    <row r="62" spans="1:13" x14ac:dyDescent="0.2">
      <c r="A62" t="s">
        <v>45</v>
      </c>
      <c r="B62">
        <v>62</v>
      </c>
      <c r="C62">
        <v>182</v>
      </c>
      <c r="D62">
        <v>100</v>
      </c>
      <c r="E62" t="s">
        <v>6</v>
      </c>
      <c r="F62" t="s">
        <v>201</v>
      </c>
      <c r="G62" t="s">
        <v>201</v>
      </c>
      <c r="H62" t="s">
        <v>201</v>
      </c>
      <c r="I62" t="s">
        <v>201</v>
      </c>
      <c r="J62" t="s">
        <v>201</v>
      </c>
      <c r="K62" t="s">
        <v>201</v>
      </c>
      <c r="L62">
        <v>4905769</v>
      </c>
      <c r="M62" t="s">
        <v>201</v>
      </c>
    </row>
    <row r="63" spans="1:13" x14ac:dyDescent="0.2">
      <c r="A63" t="s">
        <v>18</v>
      </c>
      <c r="B63">
        <v>63</v>
      </c>
      <c r="C63">
        <v>67</v>
      </c>
      <c r="D63">
        <v>100</v>
      </c>
      <c r="E63" t="s">
        <v>6</v>
      </c>
      <c r="F63" t="s">
        <v>201</v>
      </c>
      <c r="G63" t="s">
        <v>201</v>
      </c>
      <c r="H63" t="s">
        <v>201</v>
      </c>
      <c r="I63" t="s">
        <v>201</v>
      </c>
      <c r="J63" t="s">
        <v>201</v>
      </c>
      <c r="K63" t="s">
        <v>201</v>
      </c>
      <c r="L63">
        <v>1492584</v>
      </c>
      <c r="M63" t="s">
        <v>201</v>
      </c>
    </row>
    <row r="64" spans="1:13" x14ac:dyDescent="0.2">
      <c r="A64" t="s">
        <v>119</v>
      </c>
      <c r="B64">
        <v>64</v>
      </c>
      <c r="C64">
        <v>579</v>
      </c>
      <c r="D64">
        <v>82</v>
      </c>
      <c r="E64" t="s">
        <v>6</v>
      </c>
      <c r="F64" t="s">
        <v>201</v>
      </c>
      <c r="G64" t="s">
        <v>201</v>
      </c>
      <c r="H64" t="s">
        <v>201</v>
      </c>
      <c r="I64" t="s">
        <v>201</v>
      </c>
      <c r="J64" t="s">
        <v>201</v>
      </c>
      <c r="K64" t="s">
        <v>201</v>
      </c>
      <c r="L64">
        <v>3075647</v>
      </c>
      <c r="M64" t="s">
        <v>201</v>
      </c>
    </row>
    <row r="65" spans="1:13" x14ac:dyDescent="0.2">
      <c r="A65" t="s">
        <v>16</v>
      </c>
      <c r="B65">
        <v>65</v>
      </c>
      <c r="C65">
        <v>150</v>
      </c>
      <c r="D65">
        <v>100</v>
      </c>
      <c r="E65" t="s">
        <v>6</v>
      </c>
      <c r="F65" t="s">
        <v>201</v>
      </c>
      <c r="G65" t="s">
        <v>201</v>
      </c>
      <c r="H65" t="s">
        <v>201</v>
      </c>
      <c r="I65" t="s">
        <v>201</v>
      </c>
      <c r="J65" t="s">
        <v>201</v>
      </c>
      <c r="K65" t="s">
        <v>201</v>
      </c>
      <c r="L65">
        <v>9862429</v>
      </c>
      <c r="M65" t="s">
        <v>201</v>
      </c>
    </row>
    <row r="66" spans="1:13" x14ac:dyDescent="0.2">
      <c r="A66" t="s">
        <v>132</v>
      </c>
      <c r="B66">
        <v>66</v>
      </c>
      <c r="C66">
        <v>81</v>
      </c>
      <c r="D66">
        <v>100</v>
      </c>
      <c r="E66" t="s">
        <v>6</v>
      </c>
      <c r="F66" t="s">
        <v>201</v>
      </c>
      <c r="G66" t="s">
        <v>201</v>
      </c>
      <c r="H66" t="s">
        <v>201</v>
      </c>
      <c r="I66" t="s">
        <v>201</v>
      </c>
      <c r="J66" t="s">
        <v>201</v>
      </c>
      <c r="K66" t="s">
        <v>201</v>
      </c>
      <c r="L66">
        <v>4636262</v>
      </c>
      <c r="M66" t="s">
        <v>201</v>
      </c>
    </row>
    <row r="67" spans="1:13" x14ac:dyDescent="0.2">
      <c r="A67" t="s">
        <v>88</v>
      </c>
      <c r="B67">
        <v>67</v>
      </c>
      <c r="C67">
        <v>232</v>
      </c>
      <c r="D67">
        <v>98</v>
      </c>
      <c r="E67" t="s">
        <v>6</v>
      </c>
      <c r="F67" t="s">
        <v>201</v>
      </c>
      <c r="G67" t="s">
        <v>201</v>
      </c>
      <c r="H67" t="s">
        <v>201</v>
      </c>
      <c r="I67" t="s">
        <v>201</v>
      </c>
      <c r="J67" t="s">
        <v>201</v>
      </c>
      <c r="K67" t="s">
        <v>201</v>
      </c>
      <c r="L67">
        <v>2890299</v>
      </c>
      <c r="M67" t="s">
        <v>201</v>
      </c>
    </row>
    <row r="68" spans="1:13" x14ac:dyDescent="0.2">
      <c r="A68" t="s">
        <v>121</v>
      </c>
      <c r="B68">
        <v>68</v>
      </c>
      <c r="C68">
        <v>1770</v>
      </c>
      <c r="D68">
        <v>100</v>
      </c>
      <c r="E68" t="s">
        <v>6</v>
      </c>
      <c r="F68">
        <v>406318</v>
      </c>
      <c r="G68">
        <v>15127</v>
      </c>
      <c r="H68">
        <v>15155</v>
      </c>
      <c r="I68">
        <v>11297</v>
      </c>
      <c r="J68">
        <v>41579</v>
      </c>
      <c r="K68">
        <v>0.10233117902726437</v>
      </c>
      <c r="L68">
        <v>35739580</v>
      </c>
      <c r="M68">
        <v>1.1633880420530963E-3</v>
      </c>
    </row>
    <row r="69" spans="1:13" x14ac:dyDescent="0.2">
      <c r="A69" t="s">
        <v>180</v>
      </c>
      <c r="B69">
        <v>69</v>
      </c>
      <c r="C69">
        <v>600</v>
      </c>
      <c r="D69">
        <v>100</v>
      </c>
      <c r="E69" t="s">
        <v>6</v>
      </c>
      <c r="F69" t="s">
        <v>201</v>
      </c>
      <c r="G69" t="s">
        <v>201</v>
      </c>
      <c r="H69" t="s">
        <v>201</v>
      </c>
      <c r="I69" t="s">
        <v>201</v>
      </c>
      <c r="J69" t="s">
        <v>201</v>
      </c>
      <c r="K69" t="s">
        <v>201</v>
      </c>
      <c r="L69">
        <v>80745020</v>
      </c>
      <c r="M69" t="s">
        <v>201</v>
      </c>
    </row>
    <row r="70" spans="1:13" x14ac:dyDescent="0.2">
      <c r="A70" t="s">
        <v>135</v>
      </c>
      <c r="B70">
        <v>70</v>
      </c>
      <c r="C70">
        <v>9</v>
      </c>
      <c r="D70">
        <v>93</v>
      </c>
      <c r="E70" t="s">
        <v>6</v>
      </c>
      <c r="F70" t="s">
        <v>201</v>
      </c>
      <c r="G70" t="s">
        <v>201</v>
      </c>
      <c r="H70" t="s">
        <v>201</v>
      </c>
      <c r="I70" t="s">
        <v>201</v>
      </c>
      <c r="J70" t="s">
        <v>201</v>
      </c>
      <c r="K70" t="s">
        <v>201</v>
      </c>
      <c r="L70">
        <v>4098587</v>
      </c>
      <c r="M70" t="s">
        <v>201</v>
      </c>
    </row>
    <row r="71" spans="1:13" x14ac:dyDescent="0.2">
      <c r="A71" t="s">
        <v>28</v>
      </c>
      <c r="B71">
        <v>71</v>
      </c>
      <c r="C71">
        <v>324</v>
      </c>
      <c r="D71">
        <v>61</v>
      </c>
      <c r="E71" t="s">
        <v>10</v>
      </c>
      <c r="F71">
        <v>578084</v>
      </c>
      <c r="G71">
        <v>13070</v>
      </c>
      <c r="H71">
        <v>13764</v>
      </c>
      <c r="I71">
        <v>9793</v>
      </c>
      <c r="J71">
        <v>36627</v>
      </c>
      <c r="K71">
        <v>6.3359304184167006E-2</v>
      </c>
      <c r="L71">
        <v>2291661</v>
      </c>
      <c r="M71">
        <v>1.5982730430024336E-2</v>
      </c>
    </row>
    <row r="72" spans="1:13" x14ac:dyDescent="0.2">
      <c r="A72" t="s">
        <v>30</v>
      </c>
      <c r="B72">
        <v>72</v>
      </c>
      <c r="C72">
        <v>54</v>
      </c>
      <c r="D72">
        <v>100</v>
      </c>
      <c r="E72" t="s">
        <v>6</v>
      </c>
      <c r="F72" t="s">
        <v>201</v>
      </c>
      <c r="G72" t="s">
        <v>201</v>
      </c>
      <c r="H72" t="s">
        <v>201</v>
      </c>
      <c r="I72" t="s">
        <v>201</v>
      </c>
      <c r="J72" t="s">
        <v>201</v>
      </c>
      <c r="K72" t="s">
        <v>201</v>
      </c>
      <c r="L72">
        <v>428697</v>
      </c>
      <c r="M72" t="s">
        <v>201</v>
      </c>
    </row>
    <row r="73" spans="1:13" x14ac:dyDescent="0.2">
      <c r="A73" t="s">
        <v>25</v>
      </c>
      <c r="B73">
        <v>73</v>
      </c>
      <c r="C73">
        <v>525</v>
      </c>
      <c r="D73">
        <v>100</v>
      </c>
      <c r="E73" t="s">
        <v>6</v>
      </c>
      <c r="F73" t="s">
        <v>201</v>
      </c>
      <c r="G73" t="s">
        <v>201</v>
      </c>
      <c r="H73" t="s">
        <v>201</v>
      </c>
      <c r="I73" t="s">
        <v>201</v>
      </c>
      <c r="J73" t="s">
        <v>201</v>
      </c>
      <c r="K73" t="s">
        <v>201</v>
      </c>
      <c r="L73">
        <v>807610</v>
      </c>
      <c r="M73" t="s">
        <v>201</v>
      </c>
    </row>
    <row r="74" spans="1:13" x14ac:dyDescent="0.2">
      <c r="A74" t="s">
        <v>160</v>
      </c>
      <c r="B74">
        <v>74</v>
      </c>
      <c r="C74">
        <v>156</v>
      </c>
      <c r="D74">
        <v>84</v>
      </c>
      <c r="E74" t="s">
        <v>10</v>
      </c>
      <c r="F74">
        <v>1220394</v>
      </c>
      <c r="G74">
        <v>43275</v>
      </c>
      <c r="H74">
        <v>42243</v>
      </c>
      <c r="I74">
        <v>41195</v>
      </c>
      <c r="J74">
        <v>126713</v>
      </c>
      <c r="K74">
        <v>0.10382958290519291</v>
      </c>
      <c r="L74">
        <v>56717156</v>
      </c>
      <c r="M74">
        <v>2.2341211890102527E-3</v>
      </c>
    </row>
    <row r="75" spans="1:13" x14ac:dyDescent="0.2">
      <c r="A75" t="s">
        <v>97</v>
      </c>
      <c r="B75">
        <v>75</v>
      </c>
      <c r="C75">
        <v>858</v>
      </c>
      <c r="D75">
        <v>100</v>
      </c>
      <c r="E75" t="s">
        <v>6</v>
      </c>
      <c r="F75" t="s">
        <v>201</v>
      </c>
      <c r="G75" t="s">
        <v>201</v>
      </c>
      <c r="H75" t="s">
        <v>201</v>
      </c>
      <c r="I75" t="s">
        <v>201</v>
      </c>
      <c r="J75" t="s">
        <v>201</v>
      </c>
      <c r="K75" t="s">
        <v>201</v>
      </c>
      <c r="L75">
        <v>6201500</v>
      </c>
      <c r="M75" t="s">
        <v>201</v>
      </c>
    </row>
    <row r="76" spans="1:13" x14ac:dyDescent="0.2">
      <c r="A76" t="s">
        <v>112</v>
      </c>
      <c r="B76">
        <v>76</v>
      </c>
      <c r="C76">
        <v>268</v>
      </c>
      <c r="D76">
        <v>100</v>
      </c>
      <c r="E76" t="s">
        <v>6</v>
      </c>
      <c r="F76" t="s">
        <v>201</v>
      </c>
      <c r="G76" t="s">
        <v>201</v>
      </c>
      <c r="H76" t="s">
        <v>201</v>
      </c>
      <c r="I76" t="s">
        <v>201</v>
      </c>
      <c r="J76" t="s">
        <v>201</v>
      </c>
      <c r="K76" t="s">
        <v>201</v>
      </c>
      <c r="L76">
        <v>465292</v>
      </c>
      <c r="M76" t="s">
        <v>201</v>
      </c>
    </row>
    <row r="77" spans="1:13" x14ac:dyDescent="0.2">
      <c r="A77" t="s">
        <v>179</v>
      </c>
      <c r="B77">
        <v>77</v>
      </c>
      <c r="C77">
        <v>697</v>
      </c>
      <c r="D77">
        <v>100</v>
      </c>
      <c r="E77" t="s">
        <v>6</v>
      </c>
      <c r="F77">
        <v>155176</v>
      </c>
      <c r="G77">
        <v>2045</v>
      </c>
      <c r="H77">
        <v>4645</v>
      </c>
      <c r="I77">
        <v>6842</v>
      </c>
      <c r="J77">
        <v>13532</v>
      </c>
      <c r="K77">
        <v>8.7204206836108675E-2</v>
      </c>
      <c r="L77">
        <v>11532127</v>
      </c>
      <c r="M77">
        <v>1.1734175317354727E-3</v>
      </c>
    </row>
    <row r="78" spans="1:13" x14ac:dyDescent="0.2">
      <c r="A78" t="s">
        <v>40</v>
      </c>
      <c r="B78">
        <v>78</v>
      </c>
      <c r="C78">
        <v>390</v>
      </c>
      <c r="D78">
        <v>100</v>
      </c>
      <c r="E78" t="s">
        <v>6</v>
      </c>
      <c r="F78" t="s">
        <v>201</v>
      </c>
      <c r="G78" t="s">
        <v>201</v>
      </c>
      <c r="H78" t="s">
        <v>201</v>
      </c>
      <c r="I78" t="s">
        <v>201</v>
      </c>
      <c r="J78" t="s">
        <v>201</v>
      </c>
      <c r="K78" t="s">
        <v>201</v>
      </c>
      <c r="L78">
        <v>1386395000</v>
      </c>
      <c r="M78" t="s">
        <v>201</v>
      </c>
    </row>
    <row r="79" spans="1:13" x14ac:dyDescent="0.2">
      <c r="A79" t="s">
        <v>148</v>
      </c>
      <c r="B79">
        <v>79</v>
      </c>
      <c r="C79">
        <v>59</v>
      </c>
      <c r="D79">
        <v>100</v>
      </c>
      <c r="E79" t="s">
        <v>6</v>
      </c>
      <c r="F79" t="s">
        <v>201</v>
      </c>
      <c r="G79" t="s">
        <v>201</v>
      </c>
      <c r="H79" t="s">
        <v>201</v>
      </c>
      <c r="I79" t="s">
        <v>201</v>
      </c>
      <c r="J79" t="s">
        <v>201</v>
      </c>
      <c r="K79" t="s">
        <v>201</v>
      </c>
      <c r="L79">
        <v>33400</v>
      </c>
      <c r="M79" t="s">
        <v>201</v>
      </c>
    </row>
    <row r="80" spans="1:13" x14ac:dyDescent="0.2">
      <c r="A80" t="s">
        <v>182</v>
      </c>
      <c r="B80">
        <v>80</v>
      </c>
      <c r="C80">
        <v>638</v>
      </c>
      <c r="D80">
        <v>100</v>
      </c>
      <c r="E80" t="s">
        <v>6</v>
      </c>
      <c r="F80" t="s">
        <v>201</v>
      </c>
      <c r="G80" t="s">
        <v>201</v>
      </c>
      <c r="H80" t="s">
        <v>201</v>
      </c>
      <c r="I80" t="s">
        <v>201</v>
      </c>
      <c r="J80" t="s">
        <v>201</v>
      </c>
      <c r="K80" t="s">
        <v>201</v>
      </c>
      <c r="L80">
        <v>44831159</v>
      </c>
      <c r="M80" t="s">
        <v>201</v>
      </c>
    </row>
    <row r="81" spans="1:13" x14ac:dyDescent="0.2">
      <c r="A81" t="s">
        <v>27</v>
      </c>
      <c r="B81">
        <v>81</v>
      </c>
      <c r="C81">
        <v>400</v>
      </c>
      <c r="D81">
        <v>100</v>
      </c>
      <c r="E81" t="s">
        <v>6</v>
      </c>
      <c r="F81" t="s">
        <v>201</v>
      </c>
      <c r="G81" t="s">
        <v>201</v>
      </c>
      <c r="H81" t="s">
        <v>201</v>
      </c>
      <c r="I81" t="s">
        <v>201</v>
      </c>
      <c r="J81" t="s">
        <v>201</v>
      </c>
      <c r="K81" t="s">
        <v>201</v>
      </c>
      <c r="L81">
        <v>3507017</v>
      </c>
      <c r="M81" t="s">
        <v>201</v>
      </c>
    </row>
    <row r="82" spans="1:13" x14ac:dyDescent="0.2">
      <c r="A82" t="s">
        <v>190</v>
      </c>
      <c r="B82">
        <v>82</v>
      </c>
      <c r="C82">
        <v>1261</v>
      </c>
      <c r="D82">
        <v>100</v>
      </c>
      <c r="E82" t="s">
        <v>6</v>
      </c>
      <c r="F82" t="s">
        <v>201</v>
      </c>
      <c r="G82" t="s">
        <v>201</v>
      </c>
      <c r="H82" t="s">
        <v>201</v>
      </c>
      <c r="I82" t="s">
        <v>201</v>
      </c>
      <c r="J82" t="s">
        <v>201</v>
      </c>
      <c r="K82" t="s">
        <v>201</v>
      </c>
      <c r="L82">
        <v>95540800</v>
      </c>
      <c r="M82" t="s">
        <v>201</v>
      </c>
    </row>
    <row r="83" spans="1:13" x14ac:dyDescent="0.2">
      <c r="A83" t="s">
        <v>143</v>
      </c>
      <c r="B83">
        <v>83</v>
      </c>
      <c r="C83">
        <v>11</v>
      </c>
      <c r="D83">
        <v>100</v>
      </c>
      <c r="E83" t="s">
        <v>6</v>
      </c>
      <c r="F83" t="s">
        <v>201</v>
      </c>
      <c r="G83" t="s">
        <v>201</v>
      </c>
      <c r="H83" t="s">
        <v>201</v>
      </c>
      <c r="I83" t="s">
        <v>201</v>
      </c>
      <c r="J83" t="s">
        <v>201</v>
      </c>
      <c r="K83" t="s">
        <v>201</v>
      </c>
      <c r="L83">
        <v>2639211</v>
      </c>
      <c r="M83" t="s">
        <v>201</v>
      </c>
    </row>
    <row r="84" spans="1:13" x14ac:dyDescent="0.2">
      <c r="A84" t="s">
        <v>188</v>
      </c>
      <c r="B84">
        <v>83</v>
      </c>
      <c r="C84">
        <v>1091</v>
      </c>
      <c r="D84">
        <v>58</v>
      </c>
      <c r="E84" t="s">
        <v>6</v>
      </c>
      <c r="F84" t="s">
        <v>201</v>
      </c>
      <c r="G84" t="s">
        <v>201</v>
      </c>
      <c r="H84" t="s">
        <v>201</v>
      </c>
      <c r="I84" t="s">
        <v>201</v>
      </c>
      <c r="J84" t="s">
        <v>201</v>
      </c>
      <c r="K84" t="s">
        <v>201</v>
      </c>
      <c r="L84">
        <v>276244</v>
      </c>
      <c r="M84" t="s">
        <v>201</v>
      </c>
    </row>
    <row r="85" spans="1:13" x14ac:dyDescent="0.2">
      <c r="A85" t="s">
        <v>177</v>
      </c>
      <c r="B85">
        <v>85</v>
      </c>
      <c r="C85">
        <v>86</v>
      </c>
      <c r="D85">
        <v>97</v>
      </c>
      <c r="E85" t="s">
        <v>6</v>
      </c>
      <c r="F85" t="s">
        <v>201</v>
      </c>
      <c r="G85" t="s">
        <v>201</v>
      </c>
      <c r="H85" t="s">
        <v>201</v>
      </c>
      <c r="I85" t="s">
        <v>201</v>
      </c>
      <c r="J85" t="s">
        <v>201</v>
      </c>
      <c r="K85" t="s">
        <v>201</v>
      </c>
      <c r="L85">
        <v>108020</v>
      </c>
      <c r="M85" t="s">
        <v>201</v>
      </c>
    </row>
    <row r="86" spans="1:13" x14ac:dyDescent="0.2">
      <c r="A86" t="s">
        <v>165</v>
      </c>
      <c r="B86">
        <v>86</v>
      </c>
      <c r="C86">
        <v>193</v>
      </c>
      <c r="D86">
        <v>98</v>
      </c>
      <c r="E86" t="s">
        <v>6</v>
      </c>
      <c r="F86" t="s">
        <v>201</v>
      </c>
      <c r="G86" t="s">
        <v>201</v>
      </c>
      <c r="H86" t="s">
        <v>201</v>
      </c>
      <c r="I86" t="s">
        <v>201</v>
      </c>
      <c r="J86" t="s">
        <v>201</v>
      </c>
      <c r="K86" t="s">
        <v>201</v>
      </c>
      <c r="L86">
        <v>178844</v>
      </c>
      <c r="M86" t="s">
        <v>201</v>
      </c>
    </row>
    <row r="87" spans="1:13" x14ac:dyDescent="0.2">
      <c r="A87" t="s">
        <v>187</v>
      </c>
      <c r="B87">
        <v>87</v>
      </c>
      <c r="C87">
        <v>1233</v>
      </c>
      <c r="D87">
        <v>100</v>
      </c>
      <c r="E87" t="s">
        <v>6</v>
      </c>
      <c r="F87" t="s">
        <v>201</v>
      </c>
      <c r="G87" t="s">
        <v>201</v>
      </c>
      <c r="H87" t="s">
        <v>201</v>
      </c>
      <c r="I87" t="s">
        <v>201</v>
      </c>
      <c r="J87" t="s">
        <v>201</v>
      </c>
      <c r="K87" t="s">
        <v>201</v>
      </c>
      <c r="L87">
        <v>32387200</v>
      </c>
      <c r="M87" t="s">
        <v>201</v>
      </c>
    </row>
    <row r="88" spans="1:13" x14ac:dyDescent="0.2">
      <c r="A88" t="s">
        <v>72</v>
      </c>
      <c r="B88">
        <v>88</v>
      </c>
      <c r="C88">
        <v>478</v>
      </c>
      <c r="D88">
        <v>92</v>
      </c>
      <c r="E88" t="s">
        <v>6</v>
      </c>
      <c r="F88" t="s">
        <v>201</v>
      </c>
      <c r="G88" t="s">
        <v>201</v>
      </c>
      <c r="H88" t="s">
        <v>201</v>
      </c>
      <c r="I88" t="s">
        <v>201</v>
      </c>
      <c r="J88" t="s">
        <v>201</v>
      </c>
      <c r="K88" t="s">
        <v>201</v>
      </c>
      <c r="L88">
        <v>16913503</v>
      </c>
      <c r="M88" t="s">
        <v>201</v>
      </c>
    </row>
    <row r="89" spans="1:13" x14ac:dyDescent="0.2">
      <c r="A89" t="s">
        <v>147</v>
      </c>
      <c r="B89">
        <v>89</v>
      </c>
      <c r="C89">
        <v>642</v>
      </c>
      <c r="D89">
        <v>100</v>
      </c>
      <c r="E89" t="s">
        <v>6</v>
      </c>
      <c r="F89" t="s">
        <v>201</v>
      </c>
      <c r="G89" t="s">
        <v>201</v>
      </c>
      <c r="H89" t="s">
        <v>201</v>
      </c>
      <c r="I89" t="s">
        <v>201</v>
      </c>
      <c r="J89" t="s">
        <v>201</v>
      </c>
      <c r="K89" t="s">
        <v>201</v>
      </c>
      <c r="L89">
        <v>196440</v>
      </c>
      <c r="M89" t="s">
        <v>201</v>
      </c>
    </row>
    <row r="90" spans="1:13" x14ac:dyDescent="0.2">
      <c r="A90" t="s">
        <v>186</v>
      </c>
      <c r="B90">
        <v>90</v>
      </c>
      <c r="C90">
        <v>13</v>
      </c>
      <c r="D90">
        <v>100</v>
      </c>
      <c r="E90" t="s">
        <v>6</v>
      </c>
      <c r="F90" t="s">
        <v>201</v>
      </c>
      <c r="G90" t="s">
        <v>201</v>
      </c>
      <c r="H90" t="s">
        <v>201</v>
      </c>
      <c r="I90" t="s">
        <v>201</v>
      </c>
      <c r="J90" t="s">
        <v>201</v>
      </c>
      <c r="K90" t="s">
        <v>201</v>
      </c>
      <c r="L90">
        <v>3456750</v>
      </c>
      <c r="M90" t="s">
        <v>201</v>
      </c>
    </row>
    <row r="91" spans="1:13" x14ac:dyDescent="0.2">
      <c r="A91" t="s">
        <v>82</v>
      </c>
      <c r="B91">
        <v>91</v>
      </c>
      <c r="C91">
        <v>357</v>
      </c>
      <c r="D91">
        <v>98</v>
      </c>
      <c r="E91" t="s">
        <v>6</v>
      </c>
      <c r="F91" t="s">
        <v>201</v>
      </c>
      <c r="G91" t="s">
        <v>201</v>
      </c>
      <c r="H91" t="s">
        <v>201</v>
      </c>
      <c r="I91" t="s">
        <v>201</v>
      </c>
      <c r="J91" t="s">
        <v>201</v>
      </c>
      <c r="K91" t="s">
        <v>201</v>
      </c>
      <c r="L91">
        <v>263991379</v>
      </c>
      <c r="M91" t="s">
        <v>201</v>
      </c>
    </row>
    <row r="92" spans="1:13" x14ac:dyDescent="0.2">
      <c r="A92" t="s">
        <v>92</v>
      </c>
      <c r="B92">
        <v>92</v>
      </c>
      <c r="C92">
        <v>642</v>
      </c>
      <c r="D92">
        <v>56</v>
      </c>
      <c r="E92" t="s">
        <v>10</v>
      </c>
      <c r="F92">
        <v>582253</v>
      </c>
      <c r="G92">
        <v>15399</v>
      </c>
      <c r="H92">
        <v>23046</v>
      </c>
      <c r="I92">
        <v>22476</v>
      </c>
      <c r="J92">
        <v>60921</v>
      </c>
      <c r="K92">
        <v>0.10462977434208154</v>
      </c>
      <c r="L92">
        <v>49699862</v>
      </c>
      <c r="M92">
        <v>1.2257780514561591E-3</v>
      </c>
    </row>
    <row r="93" spans="1:13" x14ac:dyDescent="0.2">
      <c r="A93" t="s">
        <v>153</v>
      </c>
      <c r="B93">
        <v>93</v>
      </c>
      <c r="C93">
        <v>365</v>
      </c>
      <c r="D93">
        <v>100</v>
      </c>
      <c r="E93" t="s">
        <v>10</v>
      </c>
      <c r="F93" t="s">
        <v>201</v>
      </c>
      <c r="G93" t="s">
        <v>201</v>
      </c>
      <c r="H93" t="s">
        <v>201</v>
      </c>
      <c r="I93" t="s">
        <v>201</v>
      </c>
      <c r="J93" t="s">
        <v>201</v>
      </c>
      <c r="K93" t="s">
        <v>201</v>
      </c>
      <c r="L93">
        <v>95843</v>
      </c>
      <c r="M93" t="s">
        <v>201</v>
      </c>
    </row>
    <row r="94" spans="1:13" x14ac:dyDescent="0.2">
      <c r="A94" t="s">
        <v>150</v>
      </c>
      <c r="B94">
        <v>94</v>
      </c>
      <c r="C94">
        <v>31</v>
      </c>
      <c r="D94">
        <v>100</v>
      </c>
      <c r="E94" t="s">
        <v>6</v>
      </c>
      <c r="F94" t="s">
        <v>201</v>
      </c>
      <c r="G94" t="s">
        <v>201</v>
      </c>
      <c r="H94" t="s">
        <v>201</v>
      </c>
      <c r="I94" t="s">
        <v>201</v>
      </c>
      <c r="J94" t="s">
        <v>201</v>
      </c>
      <c r="K94" t="s">
        <v>201</v>
      </c>
      <c r="L94">
        <v>32938213</v>
      </c>
      <c r="M94" t="s">
        <v>201</v>
      </c>
    </row>
    <row r="95" spans="1:13" x14ac:dyDescent="0.2">
      <c r="A95" t="s">
        <v>57</v>
      </c>
      <c r="B95">
        <v>95</v>
      </c>
      <c r="C95">
        <v>502</v>
      </c>
      <c r="D95">
        <v>99</v>
      </c>
      <c r="E95" t="s">
        <v>6</v>
      </c>
      <c r="F95" t="s">
        <v>201</v>
      </c>
      <c r="G95" t="s">
        <v>201</v>
      </c>
      <c r="H95" t="s">
        <v>201</v>
      </c>
      <c r="I95" t="s">
        <v>201</v>
      </c>
      <c r="J95" t="s">
        <v>201</v>
      </c>
      <c r="K95" t="s">
        <v>201</v>
      </c>
      <c r="L95">
        <v>6377853</v>
      </c>
      <c r="M95" t="s">
        <v>201</v>
      </c>
    </row>
    <row r="96" spans="1:13" x14ac:dyDescent="0.2">
      <c r="A96" t="s">
        <v>178</v>
      </c>
      <c r="B96">
        <v>96</v>
      </c>
      <c r="C96">
        <v>177</v>
      </c>
      <c r="D96">
        <v>100</v>
      </c>
      <c r="E96" t="s">
        <v>6</v>
      </c>
      <c r="F96" t="s">
        <v>201</v>
      </c>
      <c r="G96" t="s">
        <v>201</v>
      </c>
      <c r="H96" t="s">
        <v>201</v>
      </c>
      <c r="I96" t="s">
        <v>201</v>
      </c>
      <c r="J96" t="s">
        <v>201</v>
      </c>
      <c r="K96" t="s">
        <v>201</v>
      </c>
      <c r="L96">
        <v>1369125</v>
      </c>
      <c r="M96" t="s">
        <v>201</v>
      </c>
    </row>
    <row r="97" spans="1:13" x14ac:dyDescent="0.2">
      <c r="A97" t="s">
        <v>62</v>
      </c>
      <c r="B97">
        <v>97</v>
      </c>
      <c r="C97">
        <v>1478</v>
      </c>
      <c r="D97">
        <v>99</v>
      </c>
      <c r="E97" t="s">
        <v>6</v>
      </c>
      <c r="F97" t="s">
        <v>201</v>
      </c>
      <c r="G97" t="s">
        <v>201</v>
      </c>
      <c r="H97" t="s">
        <v>201</v>
      </c>
      <c r="I97" t="s">
        <v>201</v>
      </c>
      <c r="J97" t="s">
        <v>201</v>
      </c>
      <c r="K97" t="s">
        <v>201</v>
      </c>
      <c r="L97">
        <v>905502</v>
      </c>
      <c r="M97" t="s">
        <v>201</v>
      </c>
    </row>
    <row r="98" spans="1:13" x14ac:dyDescent="0.2">
      <c r="A98" t="s">
        <v>193</v>
      </c>
      <c r="B98">
        <v>98</v>
      </c>
      <c r="C98">
        <v>610</v>
      </c>
      <c r="D98">
        <v>27</v>
      </c>
      <c r="E98" t="s">
        <v>10</v>
      </c>
      <c r="F98">
        <v>751315</v>
      </c>
      <c r="G98">
        <v>15691</v>
      </c>
      <c r="H98">
        <v>17894</v>
      </c>
      <c r="I98">
        <v>13229</v>
      </c>
      <c r="J98">
        <v>46814</v>
      </c>
      <c r="K98">
        <v>6.2309417488004365E-2</v>
      </c>
      <c r="L98">
        <v>17094130</v>
      </c>
      <c r="M98">
        <v>2.7386009115409793E-3</v>
      </c>
    </row>
    <row r="99" spans="1:13" x14ac:dyDescent="0.2">
      <c r="A99" t="s">
        <v>139</v>
      </c>
      <c r="B99">
        <v>99</v>
      </c>
      <c r="C99">
        <v>26</v>
      </c>
      <c r="D99">
        <v>91</v>
      </c>
      <c r="E99" t="s">
        <v>6</v>
      </c>
      <c r="F99" t="s">
        <v>201</v>
      </c>
      <c r="G99" t="s">
        <v>201</v>
      </c>
      <c r="H99" t="s">
        <v>201</v>
      </c>
      <c r="I99" t="s">
        <v>201</v>
      </c>
      <c r="J99" t="s">
        <v>201</v>
      </c>
      <c r="K99" t="s">
        <v>201</v>
      </c>
      <c r="L99">
        <v>104918090</v>
      </c>
      <c r="M99" t="s">
        <v>201</v>
      </c>
    </row>
    <row r="100" spans="1:13" x14ac:dyDescent="0.2">
      <c r="A100" t="s">
        <v>101</v>
      </c>
      <c r="B100">
        <v>100</v>
      </c>
      <c r="C100">
        <v>1422</v>
      </c>
      <c r="D100">
        <v>30</v>
      </c>
      <c r="E100" t="s">
        <v>10</v>
      </c>
      <c r="F100">
        <v>30454</v>
      </c>
      <c r="G100">
        <v>1122</v>
      </c>
      <c r="H100">
        <v>938</v>
      </c>
      <c r="I100">
        <v>599</v>
      </c>
      <c r="J100">
        <v>2659</v>
      </c>
      <c r="K100">
        <v>8.7312011558415975E-2</v>
      </c>
      <c r="L100">
        <v>2233339</v>
      </c>
      <c r="M100">
        <v>1.190593994015239E-3</v>
      </c>
    </row>
    <row r="101" spans="1:13" x14ac:dyDescent="0.2">
      <c r="A101" t="s">
        <v>53</v>
      </c>
      <c r="B101">
        <v>101</v>
      </c>
      <c r="C101">
        <v>471</v>
      </c>
      <c r="D101">
        <v>100</v>
      </c>
      <c r="E101" t="s">
        <v>6</v>
      </c>
      <c r="F101" t="s">
        <v>201</v>
      </c>
      <c r="G101" t="s">
        <v>201</v>
      </c>
      <c r="H101" t="s">
        <v>201</v>
      </c>
      <c r="I101" t="s">
        <v>201</v>
      </c>
      <c r="J101" t="s">
        <v>201</v>
      </c>
      <c r="K101" t="s">
        <v>201</v>
      </c>
      <c r="L101">
        <v>73925</v>
      </c>
      <c r="M101" t="s">
        <v>201</v>
      </c>
    </row>
    <row r="102" spans="1:13" x14ac:dyDescent="0.2">
      <c r="A102" t="s">
        <v>96</v>
      </c>
      <c r="B102">
        <v>102</v>
      </c>
      <c r="C102">
        <v>77</v>
      </c>
      <c r="D102">
        <v>100</v>
      </c>
      <c r="E102" t="s">
        <v>6</v>
      </c>
      <c r="F102" t="s">
        <v>201</v>
      </c>
      <c r="G102" t="s">
        <v>201</v>
      </c>
      <c r="H102" t="s">
        <v>201</v>
      </c>
      <c r="I102" t="s">
        <v>201</v>
      </c>
      <c r="J102" t="s">
        <v>201</v>
      </c>
      <c r="K102" t="s">
        <v>201</v>
      </c>
      <c r="L102">
        <v>4136528</v>
      </c>
      <c r="M102" t="s">
        <v>201</v>
      </c>
    </row>
    <row r="103" spans="1:13" x14ac:dyDescent="0.2">
      <c r="A103" t="s">
        <v>54</v>
      </c>
      <c r="B103">
        <v>103</v>
      </c>
      <c r="C103">
        <v>267</v>
      </c>
      <c r="D103">
        <v>100</v>
      </c>
      <c r="E103" t="s">
        <v>6</v>
      </c>
      <c r="F103" t="s">
        <v>201</v>
      </c>
      <c r="G103" t="s">
        <v>201</v>
      </c>
      <c r="H103" t="s">
        <v>201</v>
      </c>
      <c r="I103" t="s">
        <v>201</v>
      </c>
      <c r="J103" t="s">
        <v>201</v>
      </c>
      <c r="K103" t="s">
        <v>201</v>
      </c>
      <c r="L103">
        <v>10766998</v>
      </c>
      <c r="M103" t="s">
        <v>201</v>
      </c>
    </row>
    <row r="104" spans="1:13" x14ac:dyDescent="0.2">
      <c r="A104" t="s">
        <v>158</v>
      </c>
      <c r="B104">
        <v>104</v>
      </c>
      <c r="C104">
        <v>1254</v>
      </c>
      <c r="D104">
        <v>48</v>
      </c>
      <c r="E104" t="s">
        <v>6</v>
      </c>
      <c r="F104" t="s">
        <v>201</v>
      </c>
      <c r="G104" t="s">
        <v>201</v>
      </c>
      <c r="H104" t="s">
        <v>201</v>
      </c>
      <c r="I104" t="s">
        <v>201</v>
      </c>
      <c r="J104" t="s">
        <v>201</v>
      </c>
      <c r="K104" t="s">
        <v>201</v>
      </c>
      <c r="L104">
        <v>611343</v>
      </c>
      <c r="M104" t="s">
        <v>201</v>
      </c>
    </row>
    <row r="105" spans="1:13" x14ac:dyDescent="0.2">
      <c r="A105" t="s">
        <v>77</v>
      </c>
      <c r="B105">
        <v>105</v>
      </c>
      <c r="C105">
        <v>775</v>
      </c>
      <c r="D105">
        <v>88</v>
      </c>
      <c r="E105" t="s">
        <v>6</v>
      </c>
      <c r="F105" t="s">
        <v>201</v>
      </c>
      <c r="G105" t="s">
        <v>201</v>
      </c>
      <c r="H105" t="s">
        <v>201</v>
      </c>
      <c r="I105" t="s">
        <v>201</v>
      </c>
      <c r="J105" t="s">
        <v>201</v>
      </c>
      <c r="K105" t="s">
        <v>201</v>
      </c>
      <c r="L105">
        <v>9265067</v>
      </c>
      <c r="M105" t="s">
        <v>201</v>
      </c>
    </row>
    <row r="106" spans="1:13" x14ac:dyDescent="0.2">
      <c r="A106" t="s">
        <v>137</v>
      </c>
      <c r="B106">
        <v>106</v>
      </c>
      <c r="C106">
        <v>152</v>
      </c>
      <c r="D106">
        <v>98</v>
      </c>
      <c r="E106" t="s">
        <v>6</v>
      </c>
      <c r="F106" t="s">
        <v>201</v>
      </c>
      <c r="G106" t="s">
        <v>201</v>
      </c>
      <c r="H106" t="s">
        <v>201</v>
      </c>
      <c r="I106" t="s">
        <v>201</v>
      </c>
      <c r="J106" t="s">
        <v>201</v>
      </c>
      <c r="K106" t="s">
        <v>201</v>
      </c>
      <c r="L106">
        <v>6811297</v>
      </c>
      <c r="M106" t="s">
        <v>201</v>
      </c>
    </row>
    <row r="107" spans="1:13" x14ac:dyDescent="0.2">
      <c r="A107" t="s">
        <v>125</v>
      </c>
      <c r="B107">
        <v>107</v>
      </c>
      <c r="C107">
        <v>1042</v>
      </c>
      <c r="D107">
        <v>91</v>
      </c>
      <c r="E107" t="s">
        <v>6</v>
      </c>
      <c r="F107" t="s">
        <v>201</v>
      </c>
      <c r="G107" t="s">
        <v>201</v>
      </c>
      <c r="H107" t="s">
        <v>201</v>
      </c>
      <c r="I107" t="s">
        <v>201</v>
      </c>
      <c r="J107" t="s">
        <v>201</v>
      </c>
      <c r="K107" t="s">
        <v>201</v>
      </c>
      <c r="L107">
        <v>29304998</v>
      </c>
      <c r="M107" t="s">
        <v>201</v>
      </c>
    </row>
    <row r="108" spans="1:13" x14ac:dyDescent="0.2">
      <c r="A108" t="s">
        <v>69</v>
      </c>
      <c r="B108">
        <v>108</v>
      </c>
      <c r="C108">
        <v>1266</v>
      </c>
      <c r="D108">
        <v>79</v>
      </c>
      <c r="E108" t="s">
        <v>10</v>
      </c>
      <c r="F108">
        <v>238761</v>
      </c>
      <c r="G108">
        <v>229</v>
      </c>
      <c r="H108">
        <v>7644</v>
      </c>
      <c r="I108">
        <v>606</v>
      </c>
      <c r="J108">
        <v>8479</v>
      </c>
      <c r="K108">
        <v>3.5512499947646388E-2</v>
      </c>
      <c r="L108">
        <v>28833629</v>
      </c>
      <c r="M108">
        <v>2.9406634870692136E-4</v>
      </c>
    </row>
    <row r="109" spans="1:13" x14ac:dyDescent="0.2">
      <c r="A109" t="s">
        <v>124</v>
      </c>
      <c r="B109">
        <v>108</v>
      </c>
      <c r="C109">
        <v>349</v>
      </c>
      <c r="D109">
        <v>52</v>
      </c>
      <c r="E109" t="s">
        <v>10</v>
      </c>
      <c r="F109">
        <v>824205</v>
      </c>
      <c r="G109">
        <v>29716</v>
      </c>
      <c r="H109">
        <v>26183</v>
      </c>
      <c r="I109">
        <v>15196</v>
      </c>
      <c r="J109">
        <v>71095</v>
      </c>
      <c r="K109">
        <v>8.6258879768989508E-2</v>
      </c>
      <c r="L109">
        <v>2533794</v>
      </c>
      <c r="M109">
        <v>2.8058713533933698E-2</v>
      </c>
    </row>
    <row r="110" spans="1:13" x14ac:dyDescent="0.2">
      <c r="A110" t="s">
        <v>163</v>
      </c>
      <c r="B110">
        <v>110</v>
      </c>
      <c r="C110">
        <v>769</v>
      </c>
      <c r="D110">
        <v>96</v>
      </c>
      <c r="E110" t="s">
        <v>6</v>
      </c>
      <c r="F110" t="s">
        <v>201</v>
      </c>
      <c r="G110" t="s">
        <v>201</v>
      </c>
      <c r="H110" t="s">
        <v>201</v>
      </c>
      <c r="I110" t="s">
        <v>201</v>
      </c>
      <c r="J110" t="s">
        <v>201</v>
      </c>
      <c r="K110" t="s">
        <v>201</v>
      </c>
      <c r="L110">
        <v>21444000</v>
      </c>
      <c r="M110" t="s">
        <v>201</v>
      </c>
    </row>
    <row r="111" spans="1:13" x14ac:dyDescent="0.2">
      <c r="A111" t="s">
        <v>203</v>
      </c>
      <c r="B111">
        <v>111</v>
      </c>
      <c r="C111">
        <v>740</v>
      </c>
      <c r="D111">
        <v>66</v>
      </c>
      <c r="E111" t="s">
        <v>10</v>
      </c>
      <c r="F111">
        <v>17289</v>
      </c>
      <c r="G111">
        <v>559</v>
      </c>
      <c r="H111">
        <v>572</v>
      </c>
      <c r="I111">
        <v>476</v>
      </c>
      <c r="J111">
        <v>1607</v>
      </c>
      <c r="K111">
        <v>9.2949274104922208E-2</v>
      </c>
      <c r="L111">
        <v>1367254</v>
      </c>
      <c r="M111">
        <v>1.1753485453324694E-3</v>
      </c>
    </row>
    <row r="112" spans="1:13" x14ac:dyDescent="0.2">
      <c r="A112" t="s">
        <v>23</v>
      </c>
      <c r="B112">
        <v>112</v>
      </c>
      <c r="C112">
        <v>320</v>
      </c>
      <c r="D112">
        <v>92</v>
      </c>
      <c r="E112" t="s">
        <v>6</v>
      </c>
      <c r="F112" t="s">
        <v>201</v>
      </c>
      <c r="G112" t="s">
        <v>201</v>
      </c>
      <c r="H112" t="s">
        <v>201</v>
      </c>
      <c r="I112" t="s">
        <v>201</v>
      </c>
      <c r="J112" t="s">
        <v>201</v>
      </c>
      <c r="K112" t="s">
        <v>201</v>
      </c>
      <c r="L112">
        <v>374681</v>
      </c>
      <c r="M112" t="s">
        <v>201</v>
      </c>
    </row>
    <row r="113" spans="1:13" x14ac:dyDescent="0.2">
      <c r="A113" t="s">
        <v>11</v>
      </c>
      <c r="B113">
        <v>113</v>
      </c>
      <c r="C113">
        <v>118</v>
      </c>
      <c r="D113">
        <v>97</v>
      </c>
      <c r="E113" t="s">
        <v>6</v>
      </c>
      <c r="F113" t="s">
        <v>201</v>
      </c>
      <c r="G113" t="s">
        <v>201</v>
      </c>
      <c r="H113" t="s">
        <v>201</v>
      </c>
      <c r="I113" t="s">
        <v>201</v>
      </c>
      <c r="J113" t="s">
        <v>201</v>
      </c>
      <c r="K113" t="s">
        <v>201</v>
      </c>
      <c r="L113">
        <v>102012</v>
      </c>
      <c r="M113" t="s">
        <v>201</v>
      </c>
    </row>
    <row r="114" spans="1:13" x14ac:dyDescent="0.2">
      <c r="A114" t="s">
        <v>55</v>
      </c>
      <c r="B114">
        <v>114</v>
      </c>
      <c r="C114">
        <v>606</v>
      </c>
      <c r="D114">
        <v>100</v>
      </c>
      <c r="E114" t="s">
        <v>6</v>
      </c>
      <c r="F114" t="s">
        <v>201</v>
      </c>
      <c r="G114" t="s">
        <v>201</v>
      </c>
      <c r="H114" t="s">
        <v>201</v>
      </c>
      <c r="I114" t="s">
        <v>201</v>
      </c>
      <c r="J114" t="s">
        <v>201</v>
      </c>
      <c r="K114" t="s">
        <v>201</v>
      </c>
      <c r="L114">
        <v>16624858</v>
      </c>
      <c r="M114" t="s">
        <v>201</v>
      </c>
    </row>
    <row r="115" spans="1:13" x14ac:dyDescent="0.2">
      <c r="A115" t="s">
        <v>181</v>
      </c>
      <c r="B115">
        <v>115</v>
      </c>
      <c r="C115">
        <v>8449</v>
      </c>
      <c r="D115">
        <v>27</v>
      </c>
      <c r="E115" t="s">
        <v>10</v>
      </c>
      <c r="F115">
        <v>241278</v>
      </c>
      <c r="G115">
        <v>8582</v>
      </c>
      <c r="H115">
        <v>9470</v>
      </c>
      <c r="I115">
        <v>815</v>
      </c>
      <c r="J115">
        <v>18867</v>
      </c>
      <c r="K115">
        <v>7.8196105736950738E-2</v>
      </c>
      <c r="L115">
        <v>42862958</v>
      </c>
      <c r="M115">
        <v>4.4017027476265169E-4</v>
      </c>
    </row>
    <row r="116" spans="1:13" x14ac:dyDescent="0.2">
      <c r="A116" t="s">
        <v>12</v>
      </c>
      <c r="B116">
        <v>116</v>
      </c>
      <c r="C116">
        <v>32</v>
      </c>
      <c r="D116">
        <v>100</v>
      </c>
      <c r="E116" t="s">
        <v>6</v>
      </c>
      <c r="F116" t="s">
        <v>201</v>
      </c>
      <c r="G116" t="s">
        <v>201</v>
      </c>
      <c r="H116" t="s">
        <v>201</v>
      </c>
      <c r="I116" t="s">
        <v>201</v>
      </c>
      <c r="J116" t="s">
        <v>201</v>
      </c>
      <c r="K116" t="s">
        <v>201</v>
      </c>
      <c r="L116">
        <v>44271041</v>
      </c>
      <c r="M116" t="s">
        <v>201</v>
      </c>
    </row>
    <row r="117" spans="1:13" x14ac:dyDescent="0.2">
      <c r="A117" t="s">
        <v>20</v>
      </c>
      <c r="B117">
        <v>117</v>
      </c>
      <c r="C117">
        <v>65</v>
      </c>
      <c r="D117">
        <v>100</v>
      </c>
      <c r="E117" t="s">
        <v>6</v>
      </c>
      <c r="F117" t="s">
        <v>201</v>
      </c>
      <c r="G117" t="s">
        <v>201</v>
      </c>
      <c r="H117" t="s">
        <v>201</v>
      </c>
      <c r="I117" t="s">
        <v>201</v>
      </c>
      <c r="J117" t="s">
        <v>201</v>
      </c>
      <c r="K117" t="s">
        <v>201</v>
      </c>
      <c r="L117">
        <v>285719</v>
      </c>
      <c r="M117" t="s">
        <v>201</v>
      </c>
    </row>
    <row r="118" spans="1:13" x14ac:dyDescent="0.2">
      <c r="A118" t="s">
        <v>90</v>
      </c>
      <c r="B118">
        <v>118</v>
      </c>
      <c r="C118">
        <v>325</v>
      </c>
      <c r="D118">
        <v>100</v>
      </c>
      <c r="E118" t="s">
        <v>6</v>
      </c>
      <c r="F118" t="s">
        <v>201</v>
      </c>
      <c r="G118" t="s">
        <v>201</v>
      </c>
      <c r="H118" t="s">
        <v>201</v>
      </c>
      <c r="I118" t="s">
        <v>201</v>
      </c>
      <c r="J118" t="s">
        <v>201</v>
      </c>
      <c r="K118" t="s">
        <v>201</v>
      </c>
      <c r="L118">
        <v>9702353</v>
      </c>
      <c r="M118" t="s">
        <v>201</v>
      </c>
    </row>
    <row r="119" spans="1:13" x14ac:dyDescent="0.2">
      <c r="A119" t="s">
        <v>136</v>
      </c>
      <c r="B119">
        <v>119</v>
      </c>
      <c r="C119">
        <v>38</v>
      </c>
      <c r="D119">
        <v>23</v>
      </c>
      <c r="E119" t="s">
        <v>6</v>
      </c>
      <c r="F119" t="s">
        <v>201</v>
      </c>
      <c r="G119" t="s">
        <v>201</v>
      </c>
      <c r="H119" t="s">
        <v>201</v>
      </c>
      <c r="I119" t="s">
        <v>201</v>
      </c>
      <c r="J119" t="s">
        <v>201</v>
      </c>
      <c r="K119" t="s">
        <v>201</v>
      </c>
      <c r="L119">
        <v>8251162</v>
      </c>
      <c r="M119" t="s">
        <v>201</v>
      </c>
    </row>
    <row r="120" spans="1:13" x14ac:dyDescent="0.2">
      <c r="A120" t="s">
        <v>83</v>
      </c>
      <c r="B120">
        <v>120</v>
      </c>
      <c r="C120">
        <v>829</v>
      </c>
      <c r="D120">
        <v>100</v>
      </c>
      <c r="E120" t="s">
        <v>6</v>
      </c>
      <c r="F120" t="s">
        <v>201</v>
      </c>
      <c r="G120" t="s">
        <v>201</v>
      </c>
      <c r="H120" t="s">
        <v>201</v>
      </c>
      <c r="I120" t="s">
        <v>201</v>
      </c>
      <c r="J120" t="s">
        <v>201</v>
      </c>
      <c r="K120" t="s">
        <v>201</v>
      </c>
      <c r="L120">
        <v>81162788</v>
      </c>
      <c r="M120" t="s">
        <v>201</v>
      </c>
    </row>
    <row r="121" spans="1:13" x14ac:dyDescent="0.2">
      <c r="A121" t="s">
        <v>17</v>
      </c>
      <c r="B121">
        <v>121</v>
      </c>
      <c r="C121">
        <v>120</v>
      </c>
      <c r="D121">
        <v>100</v>
      </c>
      <c r="E121" t="s">
        <v>6</v>
      </c>
      <c r="F121" t="s">
        <v>201</v>
      </c>
      <c r="G121" t="s">
        <v>201</v>
      </c>
      <c r="H121" t="s">
        <v>201</v>
      </c>
      <c r="I121" t="s">
        <v>201</v>
      </c>
      <c r="J121" t="s">
        <v>201</v>
      </c>
      <c r="K121" t="s">
        <v>201</v>
      </c>
      <c r="L121">
        <v>395361</v>
      </c>
      <c r="M121" t="s">
        <v>201</v>
      </c>
    </row>
    <row r="122" spans="1:13" x14ac:dyDescent="0.2">
      <c r="A122" t="s">
        <v>56</v>
      </c>
      <c r="B122">
        <v>122</v>
      </c>
      <c r="C122">
        <v>245</v>
      </c>
      <c r="D122">
        <v>100</v>
      </c>
      <c r="E122" t="s">
        <v>6</v>
      </c>
      <c r="F122">
        <v>982446</v>
      </c>
      <c r="G122">
        <v>26605</v>
      </c>
      <c r="H122">
        <v>32218</v>
      </c>
      <c r="I122">
        <v>36601</v>
      </c>
      <c r="J122">
        <v>95424</v>
      </c>
      <c r="K122">
        <v>9.7129002510061624E-2</v>
      </c>
      <c r="L122">
        <v>97553151</v>
      </c>
      <c r="M122">
        <v>9.7817445179192619E-4</v>
      </c>
    </row>
    <row r="123" spans="1:13" x14ac:dyDescent="0.2">
      <c r="A123" t="s">
        <v>29</v>
      </c>
      <c r="B123">
        <v>123</v>
      </c>
      <c r="C123">
        <v>58</v>
      </c>
      <c r="D123">
        <v>100</v>
      </c>
      <c r="E123" t="s">
        <v>6</v>
      </c>
      <c r="F123" t="s">
        <v>201</v>
      </c>
      <c r="G123" t="s">
        <v>201</v>
      </c>
      <c r="H123" t="s">
        <v>201</v>
      </c>
      <c r="I123" t="s">
        <v>201</v>
      </c>
      <c r="J123" t="s">
        <v>201</v>
      </c>
      <c r="K123" t="s">
        <v>201</v>
      </c>
      <c r="L123">
        <v>209288278</v>
      </c>
      <c r="M123" t="s">
        <v>201</v>
      </c>
    </row>
    <row r="124" spans="1:13" x14ac:dyDescent="0.2">
      <c r="A124" t="s">
        <v>75</v>
      </c>
      <c r="B124">
        <v>124</v>
      </c>
      <c r="C124">
        <v>405</v>
      </c>
      <c r="D124">
        <v>84</v>
      </c>
      <c r="E124" t="s">
        <v>6</v>
      </c>
      <c r="F124" t="s">
        <v>201</v>
      </c>
      <c r="G124" t="s">
        <v>201</v>
      </c>
      <c r="H124" t="s">
        <v>201</v>
      </c>
      <c r="I124" t="s">
        <v>201</v>
      </c>
      <c r="J124" t="s">
        <v>201</v>
      </c>
      <c r="K124" t="s">
        <v>201</v>
      </c>
      <c r="L124">
        <v>777859</v>
      </c>
      <c r="M124" t="s">
        <v>201</v>
      </c>
    </row>
    <row r="125" spans="1:13" x14ac:dyDescent="0.2">
      <c r="A125" t="s">
        <v>166</v>
      </c>
      <c r="B125">
        <v>125</v>
      </c>
      <c r="C125">
        <v>57</v>
      </c>
      <c r="D125">
        <v>100</v>
      </c>
      <c r="E125" t="s">
        <v>6</v>
      </c>
      <c r="F125" t="s">
        <v>201</v>
      </c>
      <c r="G125" t="s">
        <v>201</v>
      </c>
      <c r="H125" t="s">
        <v>201</v>
      </c>
      <c r="I125" t="s">
        <v>201</v>
      </c>
      <c r="J125" t="s">
        <v>201</v>
      </c>
      <c r="K125" t="s">
        <v>201</v>
      </c>
      <c r="L125">
        <v>109897</v>
      </c>
      <c r="M125" t="s">
        <v>201</v>
      </c>
    </row>
    <row r="126" spans="1:13" x14ac:dyDescent="0.2">
      <c r="A126" t="s">
        <v>100</v>
      </c>
      <c r="B126">
        <v>126</v>
      </c>
      <c r="C126">
        <v>125</v>
      </c>
      <c r="D126">
        <v>100</v>
      </c>
      <c r="E126" t="s">
        <v>6</v>
      </c>
      <c r="F126" t="s">
        <v>201</v>
      </c>
      <c r="G126" t="s">
        <v>201</v>
      </c>
      <c r="H126" t="s">
        <v>201</v>
      </c>
      <c r="I126" t="s">
        <v>201</v>
      </c>
      <c r="J126" t="s">
        <v>201</v>
      </c>
      <c r="K126" t="s">
        <v>201</v>
      </c>
      <c r="L126">
        <v>6082357</v>
      </c>
      <c r="M126" t="s">
        <v>201</v>
      </c>
    </row>
    <row r="127" spans="1:13" x14ac:dyDescent="0.2">
      <c r="A127" t="s">
        <v>128</v>
      </c>
      <c r="B127">
        <v>127</v>
      </c>
      <c r="C127">
        <v>904</v>
      </c>
      <c r="D127">
        <v>82</v>
      </c>
      <c r="E127" t="s">
        <v>6</v>
      </c>
      <c r="F127" t="s">
        <v>201</v>
      </c>
      <c r="G127" t="s">
        <v>201</v>
      </c>
      <c r="H127" t="s">
        <v>201</v>
      </c>
      <c r="I127" t="s">
        <v>201</v>
      </c>
      <c r="J127" t="s">
        <v>201</v>
      </c>
      <c r="K127" t="s">
        <v>201</v>
      </c>
      <c r="L127">
        <v>6217581</v>
      </c>
      <c r="M127" t="s">
        <v>201</v>
      </c>
    </row>
    <row r="128" spans="1:13" x14ac:dyDescent="0.2">
      <c r="A128" t="s">
        <v>172</v>
      </c>
      <c r="B128">
        <v>128</v>
      </c>
      <c r="C128">
        <v>743</v>
      </c>
      <c r="D128">
        <v>100</v>
      </c>
      <c r="E128" t="s">
        <v>6</v>
      </c>
      <c r="F128" t="s">
        <v>201</v>
      </c>
      <c r="G128" t="s">
        <v>201</v>
      </c>
      <c r="H128" t="s">
        <v>201</v>
      </c>
      <c r="I128" t="s">
        <v>201</v>
      </c>
      <c r="J128" t="s">
        <v>201</v>
      </c>
      <c r="K128" t="s">
        <v>201</v>
      </c>
      <c r="L128">
        <v>8921343</v>
      </c>
      <c r="M128" t="s">
        <v>201</v>
      </c>
    </row>
    <row r="129" spans="1:13" x14ac:dyDescent="0.2">
      <c r="A129" t="s">
        <v>204</v>
      </c>
      <c r="B129">
        <v>129</v>
      </c>
      <c r="C129">
        <v>1027</v>
      </c>
      <c r="D129">
        <v>93</v>
      </c>
      <c r="E129" t="s">
        <v>10</v>
      </c>
      <c r="F129" t="s">
        <v>201</v>
      </c>
      <c r="G129" t="s">
        <v>201</v>
      </c>
      <c r="H129" t="s">
        <v>201</v>
      </c>
      <c r="I129" t="s">
        <v>201</v>
      </c>
      <c r="J129" t="s">
        <v>201</v>
      </c>
      <c r="K129" t="s">
        <v>201</v>
      </c>
      <c r="L129">
        <v>546388</v>
      </c>
      <c r="M129" t="s">
        <v>201</v>
      </c>
    </row>
    <row r="130" spans="1:13" x14ac:dyDescent="0.2">
      <c r="A130" t="s">
        <v>81</v>
      </c>
      <c r="B130">
        <v>130</v>
      </c>
      <c r="C130">
        <v>109</v>
      </c>
      <c r="D130">
        <v>85</v>
      </c>
      <c r="E130" t="s">
        <v>6</v>
      </c>
      <c r="F130" t="s">
        <v>201</v>
      </c>
      <c r="G130" t="s">
        <v>201</v>
      </c>
      <c r="H130" t="s">
        <v>201</v>
      </c>
      <c r="I130" t="s">
        <v>201</v>
      </c>
      <c r="J130" t="s">
        <v>201</v>
      </c>
      <c r="K130" t="s">
        <v>201</v>
      </c>
      <c r="L130">
        <v>1339180127</v>
      </c>
      <c r="M130" t="s">
        <v>201</v>
      </c>
    </row>
    <row r="131" spans="1:13" x14ac:dyDescent="0.2">
      <c r="A131" t="s">
        <v>34</v>
      </c>
      <c r="B131">
        <v>131</v>
      </c>
      <c r="C131">
        <v>2172</v>
      </c>
      <c r="D131">
        <v>50</v>
      </c>
      <c r="E131" t="s">
        <v>6</v>
      </c>
      <c r="F131" t="s">
        <v>201</v>
      </c>
      <c r="G131" t="s">
        <v>201</v>
      </c>
      <c r="H131" t="s">
        <v>201</v>
      </c>
      <c r="I131" t="s">
        <v>201</v>
      </c>
      <c r="J131" t="s">
        <v>201</v>
      </c>
      <c r="K131" t="s">
        <v>201</v>
      </c>
      <c r="L131">
        <v>16005373</v>
      </c>
      <c r="M131" t="s">
        <v>201</v>
      </c>
    </row>
    <row r="132" spans="1:13" x14ac:dyDescent="0.2">
      <c r="A132" t="s">
        <v>173</v>
      </c>
      <c r="B132">
        <v>132</v>
      </c>
      <c r="C132">
        <v>948</v>
      </c>
      <c r="D132">
        <v>33</v>
      </c>
      <c r="E132" t="s">
        <v>10</v>
      </c>
      <c r="F132">
        <v>941758</v>
      </c>
      <c r="G132">
        <v>31482</v>
      </c>
      <c r="H132">
        <v>38804</v>
      </c>
      <c r="I132">
        <v>18456</v>
      </c>
      <c r="J132">
        <v>88742</v>
      </c>
      <c r="K132">
        <v>9.423015254449657E-2</v>
      </c>
      <c r="L132">
        <v>57310019</v>
      </c>
      <c r="M132">
        <v>1.5484552535220762E-3</v>
      </c>
    </row>
    <row r="133" spans="1:13" x14ac:dyDescent="0.2">
      <c r="A133" t="s">
        <v>108</v>
      </c>
      <c r="B133">
        <v>133</v>
      </c>
      <c r="C133">
        <v>2688</v>
      </c>
      <c r="D133">
        <v>11</v>
      </c>
      <c r="E133" t="s">
        <v>10</v>
      </c>
      <c r="F133">
        <v>118062</v>
      </c>
      <c r="G133">
        <v>4474</v>
      </c>
      <c r="H133">
        <v>5210</v>
      </c>
      <c r="I133">
        <v>1986</v>
      </c>
      <c r="J133">
        <v>11670</v>
      </c>
      <c r="K133">
        <v>9.884636885704122E-2</v>
      </c>
      <c r="L133">
        <v>18622104</v>
      </c>
      <c r="M133">
        <v>6.266746228030946E-4</v>
      </c>
    </row>
    <row r="134" spans="1:13" x14ac:dyDescent="0.2">
      <c r="A134" t="s">
        <v>164</v>
      </c>
      <c r="B134">
        <v>134</v>
      </c>
      <c r="C134">
        <v>241</v>
      </c>
      <c r="D134">
        <v>100</v>
      </c>
      <c r="E134" t="s">
        <v>6</v>
      </c>
      <c r="F134" t="s">
        <v>201</v>
      </c>
      <c r="G134" t="s">
        <v>201</v>
      </c>
      <c r="H134" t="s">
        <v>201</v>
      </c>
      <c r="I134" t="s">
        <v>201</v>
      </c>
      <c r="J134" t="s">
        <v>201</v>
      </c>
      <c r="K134" t="s">
        <v>201</v>
      </c>
      <c r="L134">
        <v>55345</v>
      </c>
      <c r="M134" t="s">
        <v>201</v>
      </c>
    </row>
    <row r="135" spans="1:13" x14ac:dyDescent="0.2">
      <c r="A135" t="s">
        <v>110</v>
      </c>
      <c r="B135">
        <v>135</v>
      </c>
      <c r="C135">
        <v>322</v>
      </c>
      <c r="D135">
        <v>100</v>
      </c>
      <c r="E135" t="s">
        <v>6</v>
      </c>
      <c r="F135" t="s">
        <v>201</v>
      </c>
      <c r="G135" t="s">
        <v>201</v>
      </c>
      <c r="H135" t="s">
        <v>201</v>
      </c>
      <c r="I135" t="s">
        <v>201</v>
      </c>
      <c r="J135" t="s">
        <v>201</v>
      </c>
      <c r="K135" t="s">
        <v>201</v>
      </c>
      <c r="L135">
        <v>436330</v>
      </c>
      <c r="M135" t="s">
        <v>201</v>
      </c>
    </row>
    <row r="136" spans="1:13" x14ac:dyDescent="0.2">
      <c r="A136" t="s">
        <v>134</v>
      </c>
      <c r="B136">
        <v>136</v>
      </c>
      <c r="C136">
        <v>65</v>
      </c>
      <c r="D136">
        <v>99</v>
      </c>
      <c r="E136" t="s">
        <v>6</v>
      </c>
      <c r="F136" t="s">
        <v>201</v>
      </c>
      <c r="G136" t="s">
        <v>201</v>
      </c>
      <c r="H136" t="s">
        <v>201</v>
      </c>
      <c r="I136" t="s">
        <v>201</v>
      </c>
      <c r="J136" t="s">
        <v>201</v>
      </c>
      <c r="K136" t="s">
        <v>201</v>
      </c>
      <c r="L136">
        <v>21729</v>
      </c>
      <c r="M136" t="s">
        <v>201</v>
      </c>
    </row>
    <row r="137" spans="1:13" x14ac:dyDescent="0.2">
      <c r="A137" t="s">
        <v>122</v>
      </c>
      <c r="B137">
        <v>137</v>
      </c>
      <c r="C137">
        <v>2509</v>
      </c>
      <c r="D137">
        <v>24</v>
      </c>
      <c r="E137" t="s">
        <v>10</v>
      </c>
      <c r="F137">
        <v>786096</v>
      </c>
      <c r="G137">
        <v>16851</v>
      </c>
      <c r="H137">
        <v>22024</v>
      </c>
      <c r="I137">
        <v>10805</v>
      </c>
      <c r="J137">
        <v>49680</v>
      </c>
      <c r="K137">
        <v>6.31983879831471E-2</v>
      </c>
      <c r="L137">
        <v>29668834</v>
      </c>
      <c r="M137">
        <v>1.6744844101389358E-3</v>
      </c>
    </row>
    <row r="138" spans="1:13" x14ac:dyDescent="0.2">
      <c r="A138" t="s">
        <v>71</v>
      </c>
      <c r="B138">
        <v>138</v>
      </c>
      <c r="C138">
        <v>191</v>
      </c>
      <c r="D138">
        <v>92</v>
      </c>
      <c r="E138" t="s">
        <v>6</v>
      </c>
      <c r="F138" t="s">
        <v>201</v>
      </c>
      <c r="G138" t="s">
        <v>201</v>
      </c>
      <c r="H138" t="s">
        <v>201</v>
      </c>
      <c r="I138" t="s">
        <v>201</v>
      </c>
      <c r="J138" t="s">
        <v>201</v>
      </c>
      <c r="K138" t="s">
        <v>201</v>
      </c>
      <c r="L138">
        <v>107825</v>
      </c>
      <c r="M138" t="s">
        <v>201</v>
      </c>
    </row>
    <row r="139" spans="1:13" x14ac:dyDescent="0.2">
      <c r="A139" t="s">
        <v>98</v>
      </c>
      <c r="B139">
        <v>139</v>
      </c>
      <c r="C139">
        <v>1409</v>
      </c>
      <c r="D139">
        <v>87</v>
      </c>
      <c r="E139" t="s">
        <v>6</v>
      </c>
      <c r="F139" t="s">
        <v>201</v>
      </c>
      <c r="G139" t="s">
        <v>201</v>
      </c>
      <c r="H139" t="s">
        <v>201</v>
      </c>
      <c r="I139" t="s">
        <v>201</v>
      </c>
      <c r="J139" t="s">
        <v>201</v>
      </c>
      <c r="K139" t="s">
        <v>201</v>
      </c>
      <c r="L139">
        <v>6858160</v>
      </c>
      <c r="M139" t="s">
        <v>201</v>
      </c>
    </row>
    <row r="140" spans="1:13" x14ac:dyDescent="0.2">
      <c r="A140" t="s">
        <v>191</v>
      </c>
      <c r="B140">
        <v>140</v>
      </c>
      <c r="C140">
        <v>1541</v>
      </c>
      <c r="D140">
        <v>100</v>
      </c>
      <c r="E140" t="s">
        <v>6</v>
      </c>
      <c r="F140" t="s">
        <v>201</v>
      </c>
      <c r="G140" t="s">
        <v>201</v>
      </c>
      <c r="H140" t="s">
        <v>201</v>
      </c>
      <c r="I140" t="s">
        <v>201</v>
      </c>
      <c r="J140" t="s">
        <v>201</v>
      </c>
      <c r="K140" t="s">
        <v>201</v>
      </c>
      <c r="L140">
        <v>4684777</v>
      </c>
      <c r="M140" t="s">
        <v>201</v>
      </c>
    </row>
    <row r="141" spans="1:13" x14ac:dyDescent="0.2">
      <c r="A141" t="s">
        <v>111</v>
      </c>
      <c r="B141">
        <v>141</v>
      </c>
      <c r="C141">
        <v>2965</v>
      </c>
      <c r="D141">
        <v>35</v>
      </c>
      <c r="E141" t="s">
        <v>10</v>
      </c>
      <c r="F141">
        <v>1251574</v>
      </c>
      <c r="G141">
        <v>0</v>
      </c>
      <c r="H141">
        <v>7906</v>
      </c>
      <c r="I141">
        <v>1923</v>
      </c>
      <c r="J141">
        <v>9829</v>
      </c>
      <c r="K141">
        <v>7.8533111106494705E-3</v>
      </c>
      <c r="L141">
        <v>18541980</v>
      </c>
      <c r="M141">
        <v>5.300944127865525E-4</v>
      </c>
    </row>
    <row r="142" spans="1:13" x14ac:dyDescent="0.2">
      <c r="A142" t="s">
        <v>46</v>
      </c>
      <c r="B142">
        <v>142</v>
      </c>
      <c r="C142">
        <v>2590</v>
      </c>
      <c r="D142">
        <v>64</v>
      </c>
      <c r="E142" t="s">
        <v>10</v>
      </c>
      <c r="F142">
        <v>321882</v>
      </c>
      <c r="G142">
        <v>221</v>
      </c>
      <c r="H142">
        <v>10325</v>
      </c>
      <c r="I142">
        <v>430</v>
      </c>
      <c r="J142">
        <v>10976</v>
      </c>
      <c r="K142">
        <v>3.4099452594429015E-2</v>
      </c>
      <c r="L142">
        <v>24294750</v>
      </c>
      <c r="M142">
        <v>4.5178485063645439E-4</v>
      </c>
    </row>
    <row r="143" spans="1:13" x14ac:dyDescent="0.2">
      <c r="A143" t="s">
        <v>113</v>
      </c>
      <c r="B143">
        <v>143</v>
      </c>
      <c r="C143">
        <v>712</v>
      </c>
      <c r="D143">
        <v>93</v>
      </c>
      <c r="E143" t="s">
        <v>6</v>
      </c>
      <c r="F143" t="s">
        <v>201</v>
      </c>
      <c r="G143" t="s">
        <v>201</v>
      </c>
      <c r="H143" t="s">
        <v>201</v>
      </c>
      <c r="I143" t="s">
        <v>201</v>
      </c>
      <c r="J143" t="s">
        <v>201</v>
      </c>
      <c r="K143" t="s">
        <v>201</v>
      </c>
      <c r="L143">
        <v>53127</v>
      </c>
      <c r="M143" t="s">
        <v>201</v>
      </c>
    </row>
    <row r="144" spans="1:13" x14ac:dyDescent="0.2">
      <c r="A144" t="s">
        <v>133</v>
      </c>
      <c r="B144">
        <v>144</v>
      </c>
      <c r="C144">
        <v>1772</v>
      </c>
      <c r="D144">
        <v>99</v>
      </c>
      <c r="E144" t="s">
        <v>6</v>
      </c>
      <c r="F144" t="s">
        <v>201</v>
      </c>
      <c r="G144" t="s">
        <v>201</v>
      </c>
      <c r="H144" t="s">
        <v>201</v>
      </c>
      <c r="I144" t="s">
        <v>201</v>
      </c>
      <c r="J144" t="s">
        <v>201</v>
      </c>
      <c r="K144" t="s">
        <v>201</v>
      </c>
      <c r="L144">
        <v>197015955</v>
      </c>
      <c r="M144" t="s">
        <v>201</v>
      </c>
    </row>
    <row r="145" spans="1:13" x14ac:dyDescent="0.2">
      <c r="A145" t="s">
        <v>66</v>
      </c>
      <c r="B145">
        <v>145</v>
      </c>
      <c r="C145">
        <v>3569</v>
      </c>
      <c r="D145">
        <v>48</v>
      </c>
      <c r="E145" t="s">
        <v>10</v>
      </c>
      <c r="F145">
        <v>10797</v>
      </c>
      <c r="G145">
        <v>316</v>
      </c>
      <c r="H145">
        <v>474</v>
      </c>
      <c r="I145">
        <v>173</v>
      </c>
      <c r="J145">
        <v>963</v>
      </c>
      <c r="K145">
        <v>8.9191442067240903E-2</v>
      </c>
      <c r="L145">
        <v>2100568</v>
      </c>
      <c r="M145">
        <v>4.584474294571754E-4</v>
      </c>
    </row>
    <row r="146" spans="1:13" x14ac:dyDescent="0.2">
      <c r="A146" t="s">
        <v>32</v>
      </c>
      <c r="B146">
        <v>146</v>
      </c>
      <c r="C146">
        <v>10028</v>
      </c>
      <c r="D146">
        <v>19</v>
      </c>
      <c r="E146" t="s">
        <v>10</v>
      </c>
      <c r="F146">
        <v>273367</v>
      </c>
      <c r="G146">
        <v>0</v>
      </c>
      <c r="H146">
        <v>7742</v>
      </c>
      <c r="I146">
        <v>4154</v>
      </c>
      <c r="J146">
        <v>11896</v>
      </c>
      <c r="K146">
        <v>4.3516591249126629E-2</v>
      </c>
      <c r="L146">
        <v>19193382</v>
      </c>
      <c r="M146">
        <v>6.1979696960129274E-4</v>
      </c>
    </row>
    <row r="147" spans="1:13" x14ac:dyDescent="0.2">
      <c r="A147" t="s">
        <v>151</v>
      </c>
      <c r="B147">
        <v>147</v>
      </c>
      <c r="C147">
        <v>3822</v>
      </c>
      <c r="D147">
        <v>65</v>
      </c>
      <c r="E147" t="s">
        <v>10</v>
      </c>
      <c r="F147">
        <v>196761</v>
      </c>
      <c r="G147">
        <v>1537</v>
      </c>
      <c r="H147">
        <v>7519</v>
      </c>
      <c r="I147">
        <v>5454</v>
      </c>
      <c r="J147">
        <v>14510</v>
      </c>
      <c r="K147">
        <v>7.3744288756410065E-2</v>
      </c>
      <c r="L147">
        <v>15850567</v>
      </c>
      <c r="M147">
        <v>9.1542466588103756E-4</v>
      </c>
    </row>
    <row r="148" spans="1:13" x14ac:dyDescent="0.2">
      <c r="A148" t="s">
        <v>154</v>
      </c>
      <c r="B148">
        <v>148</v>
      </c>
      <c r="C148">
        <v>4224</v>
      </c>
      <c r="D148">
        <v>20</v>
      </c>
      <c r="E148" t="s">
        <v>10</v>
      </c>
      <c r="F148">
        <v>72322</v>
      </c>
      <c r="G148">
        <v>197</v>
      </c>
      <c r="H148">
        <v>1499</v>
      </c>
      <c r="I148">
        <v>0</v>
      </c>
      <c r="J148">
        <v>1696</v>
      </c>
      <c r="K148">
        <v>2.3450678908216033E-2</v>
      </c>
      <c r="L148">
        <v>7557212</v>
      </c>
      <c r="M148">
        <v>2.2442138714647678E-4</v>
      </c>
    </row>
    <row r="149" spans="1:13" x14ac:dyDescent="0.2">
      <c r="A149" t="s">
        <v>26</v>
      </c>
      <c r="B149">
        <v>149</v>
      </c>
      <c r="C149">
        <v>687</v>
      </c>
      <c r="D149">
        <v>93</v>
      </c>
      <c r="E149" t="s">
        <v>6</v>
      </c>
      <c r="F149" t="s">
        <v>201</v>
      </c>
      <c r="G149" t="s">
        <v>201</v>
      </c>
      <c r="H149" t="s">
        <v>201</v>
      </c>
      <c r="I149" t="s">
        <v>201</v>
      </c>
      <c r="J149" t="s">
        <v>201</v>
      </c>
      <c r="K149" t="s">
        <v>201</v>
      </c>
      <c r="L149">
        <v>11051600</v>
      </c>
      <c r="M149" t="s">
        <v>201</v>
      </c>
    </row>
    <row r="150" spans="1:13" x14ac:dyDescent="0.2">
      <c r="A150" t="s">
        <v>129</v>
      </c>
      <c r="B150">
        <v>150</v>
      </c>
      <c r="C150">
        <v>5427</v>
      </c>
      <c r="D150">
        <v>16</v>
      </c>
      <c r="E150" t="s">
        <v>10</v>
      </c>
      <c r="F150">
        <v>1183766</v>
      </c>
      <c r="G150">
        <v>8829</v>
      </c>
      <c r="H150">
        <v>15669</v>
      </c>
      <c r="I150">
        <v>14628</v>
      </c>
      <c r="J150">
        <v>39126</v>
      </c>
      <c r="K150">
        <v>3.3052140372337099E-2</v>
      </c>
      <c r="L150">
        <v>21477348</v>
      </c>
      <c r="M150">
        <v>1.8217332977982198E-3</v>
      </c>
    </row>
    <row r="151" spans="1:13" x14ac:dyDescent="0.2">
      <c r="A151" t="s">
        <v>117</v>
      </c>
      <c r="B151">
        <v>151</v>
      </c>
      <c r="C151">
        <v>397</v>
      </c>
      <c r="D151">
        <v>75</v>
      </c>
      <c r="E151" t="s">
        <v>6</v>
      </c>
      <c r="F151" t="s">
        <v>201</v>
      </c>
      <c r="G151" t="s">
        <v>201</v>
      </c>
      <c r="H151" t="s">
        <v>201</v>
      </c>
      <c r="I151" t="s">
        <v>201</v>
      </c>
      <c r="J151" t="s">
        <v>201</v>
      </c>
      <c r="K151" t="s">
        <v>201</v>
      </c>
      <c r="L151">
        <v>105544</v>
      </c>
      <c r="M151" t="s">
        <v>201</v>
      </c>
    </row>
    <row r="152" spans="1:13" x14ac:dyDescent="0.2">
      <c r="A152" t="s">
        <v>93</v>
      </c>
      <c r="B152">
        <v>152</v>
      </c>
      <c r="C152">
        <v>3229</v>
      </c>
      <c r="D152">
        <v>85</v>
      </c>
      <c r="E152" t="s">
        <v>6</v>
      </c>
      <c r="F152" t="s">
        <v>201</v>
      </c>
      <c r="G152" t="s">
        <v>201</v>
      </c>
      <c r="H152" t="s">
        <v>201</v>
      </c>
      <c r="I152" t="s">
        <v>201</v>
      </c>
      <c r="J152" t="s">
        <v>201</v>
      </c>
      <c r="K152" t="s">
        <v>201</v>
      </c>
      <c r="L152">
        <v>116398</v>
      </c>
      <c r="M152" t="s">
        <v>201</v>
      </c>
    </row>
    <row r="153" spans="1:13" x14ac:dyDescent="0.2">
      <c r="A153" t="s">
        <v>42</v>
      </c>
      <c r="B153">
        <v>153</v>
      </c>
      <c r="C153">
        <v>2451</v>
      </c>
      <c r="D153">
        <v>78</v>
      </c>
      <c r="E153" t="s">
        <v>10</v>
      </c>
      <c r="F153" t="s">
        <v>201</v>
      </c>
      <c r="G153" t="s">
        <v>201</v>
      </c>
      <c r="H153" t="s">
        <v>201</v>
      </c>
      <c r="I153" t="s">
        <v>201</v>
      </c>
      <c r="J153" t="s">
        <v>201</v>
      </c>
      <c r="K153" t="s">
        <v>201</v>
      </c>
      <c r="L153">
        <v>813912</v>
      </c>
      <c r="M153" t="s">
        <v>201</v>
      </c>
    </row>
    <row r="154" spans="1:13" x14ac:dyDescent="0.2">
      <c r="A154" t="s">
        <v>176</v>
      </c>
      <c r="B154">
        <v>154</v>
      </c>
      <c r="C154">
        <v>5508</v>
      </c>
      <c r="D154">
        <v>47</v>
      </c>
      <c r="E154" t="s">
        <v>10</v>
      </c>
      <c r="F154">
        <v>57038</v>
      </c>
      <c r="G154">
        <v>0</v>
      </c>
      <c r="H154">
        <v>1257</v>
      </c>
      <c r="I154">
        <v>79</v>
      </c>
      <c r="J154">
        <v>1336</v>
      </c>
      <c r="K154">
        <v>2.3422981170447773E-2</v>
      </c>
      <c r="L154">
        <v>7797694</v>
      </c>
      <c r="M154">
        <v>1.7133270425846411E-4</v>
      </c>
    </row>
    <row r="155" spans="1:13" x14ac:dyDescent="0.2">
      <c r="A155" t="s">
        <v>24</v>
      </c>
      <c r="B155">
        <v>155</v>
      </c>
      <c r="C155">
        <v>12582</v>
      </c>
      <c r="D155">
        <v>41</v>
      </c>
      <c r="E155" t="s">
        <v>10</v>
      </c>
      <c r="F155">
        <v>115543</v>
      </c>
      <c r="G155">
        <v>0</v>
      </c>
      <c r="H155">
        <v>3898</v>
      </c>
      <c r="I155">
        <v>405</v>
      </c>
      <c r="J155">
        <v>4303</v>
      </c>
      <c r="K155">
        <v>3.7241546437257127E-2</v>
      </c>
      <c r="L155">
        <v>11175692</v>
      </c>
      <c r="M155">
        <v>3.8503208570887603E-4</v>
      </c>
    </row>
    <row r="156" spans="1:13" x14ac:dyDescent="0.2">
      <c r="A156" t="s">
        <v>8</v>
      </c>
      <c r="B156">
        <v>156</v>
      </c>
      <c r="C156">
        <v>1330</v>
      </c>
      <c r="D156">
        <v>99</v>
      </c>
      <c r="E156" t="s">
        <v>6</v>
      </c>
      <c r="F156">
        <v>2316559</v>
      </c>
      <c r="G156">
        <v>26530</v>
      </c>
      <c r="H156">
        <v>27904</v>
      </c>
      <c r="I156">
        <v>30155</v>
      </c>
      <c r="J156">
        <v>84589</v>
      </c>
      <c r="K156">
        <v>3.6514934435082379E-2</v>
      </c>
      <c r="L156">
        <v>41318142</v>
      </c>
      <c r="M156">
        <v>2.0472604987900956E-3</v>
      </c>
    </row>
    <row r="157" spans="1:13" x14ac:dyDescent="0.2">
      <c r="A157" t="s">
        <v>33</v>
      </c>
      <c r="B157">
        <v>157</v>
      </c>
      <c r="C157">
        <v>16918</v>
      </c>
      <c r="D157">
        <v>8</v>
      </c>
      <c r="E157" t="s">
        <v>10</v>
      </c>
      <c r="F157">
        <v>26949</v>
      </c>
      <c r="G157">
        <v>786</v>
      </c>
      <c r="H157">
        <v>888</v>
      </c>
      <c r="I157">
        <v>0</v>
      </c>
      <c r="J157">
        <v>1674</v>
      </c>
      <c r="K157">
        <v>6.211733273961928E-2</v>
      </c>
      <c r="L157">
        <v>10864245</v>
      </c>
      <c r="M157">
        <v>1.5408341766961258E-4</v>
      </c>
    </row>
    <row r="158" spans="1:13" x14ac:dyDescent="0.2">
      <c r="A158" t="s">
        <v>168</v>
      </c>
      <c r="B158">
        <v>158</v>
      </c>
      <c r="C158">
        <v>484</v>
      </c>
      <c r="D158">
        <v>87</v>
      </c>
      <c r="E158" t="s">
        <v>6</v>
      </c>
      <c r="F158" t="s">
        <v>201</v>
      </c>
      <c r="G158" t="s">
        <v>201</v>
      </c>
      <c r="H158" t="s">
        <v>201</v>
      </c>
      <c r="I158" t="s">
        <v>201</v>
      </c>
      <c r="J158" t="s">
        <v>201</v>
      </c>
      <c r="K158" t="s">
        <v>201</v>
      </c>
      <c r="L158">
        <v>563402</v>
      </c>
      <c r="M158" t="s">
        <v>201</v>
      </c>
    </row>
    <row r="159" spans="1:13" x14ac:dyDescent="0.2">
      <c r="A159" t="s">
        <v>61</v>
      </c>
      <c r="B159">
        <v>159</v>
      </c>
      <c r="C159">
        <v>1239</v>
      </c>
      <c r="D159">
        <v>43</v>
      </c>
      <c r="E159" t="s">
        <v>10</v>
      </c>
      <c r="F159">
        <v>1127582</v>
      </c>
      <c r="G159">
        <v>22959</v>
      </c>
      <c r="H159">
        <v>27154</v>
      </c>
      <c r="I159">
        <v>14838</v>
      </c>
      <c r="J159">
        <v>64951</v>
      </c>
      <c r="K159">
        <v>5.7602019187961498E-2</v>
      </c>
      <c r="L159">
        <v>104957438</v>
      </c>
      <c r="M159">
        <v>6.1883179732340643E-4</v>
      </c>
    </row>
    <row r="160" spans="1:13" x14ac:dyDescent="0.2">
      <c r="A160" t="s">
        <v>114</v>
      </c>
      <c r="B160">
        <v>160</v>
      </c>
      <c r="C160">
        <v>4735</v>
      </c>
      <c r="D160">
        <v>42</v>
      </c>
      <c r="E160" t="s">
        <v>10</v>
      </c>
      <c r="F160">
        <v>1040738</v>
      </c>
      <c r="G160">
        <v>4988</v>
      </c>
      <c r="H160">
        <v>7990</v>
      </c>
      <c r="I160">
        <v>11822</v>
      </c>
      <c r="J160">
        <v>24800</v>
      </c>
      <c r="K160">
        <v>2.3829244247831827E-2</v>
      </c>
      <c r="L160">
        <v>4420184</v>
      </c>
      <c r="M160">
        <v>5.610626163978694E-3</v>
      </c>
    </row>
    <row r="161" spans="1:13" x14ac:dyDescent="0.2">
      <c r="A161" t="s">
        <v>194</v>
      </c>
      <c r="B161">
        <v>161</v>
      </c>
      <c r="C161">
        <v>2958</v>
      </c>
      <c r="D161">
        <v>38</v>
      </c>
      <c r="E161" t="s">
        <v>10</v>
      </c>
      <c r="F161">
        <v>390649</v>
      </c>
      <c r="G161">
        <v>11874</v>
      </c>
      <c r="H161">
        <v>15684</v>
      </c>
      <c r="I161">
        <v>12137</v>
      </c>
      <c r="J161">
        <v>39695</v>
      </c>
      <c r="K161">
        <v>0.10161295689992807</v>
      </c>
      <c r="L161">
        <v>16529904</v>
      </c>
      <c r="M161">
        <v>2.4014053560141666E-3</v>
      </c>
    </row>
    <row r="162" spans="1:13" x14ac:dyDescent="0.2">
      <c r="A162" t="s">
        <v>149</v>
      </c>
      <c r="B162">
        <v>162</v>
      </c>
      <c r="C162">
        <v>420</v>
      </c>
      <c r="D162">
        <v>65</v>
      </c>
      <c r="E162" t="s">
        <v>10</v>
      </c>
      <c r="F162" t="s">
        <v>201</v>
      </c>
      <c r="G162" t="s">
        <v>201</v>
      </c>
      <c r="H162" t="s">
        <v>201</v>
      </c>
      <c r="I162" t="s">
        <v>201</v>
      </c>
      <c r="J162" t="s">
        <v>201</v>
      </c>
      <c r="K162" t="s">
        <v>201</v>
      </c>
      <c r="L162">
        <v>204327</v>
      </c>
      <c r="M162" t="s">
        <v>201</v>
      </c>
    </row>
    <row r="163" spans="1:13" x14ac:dyDescent="0.2">
      <c r="A163" t="s">
        <v>73</v>
      </c>
      <c r="B163">
        <v>163</v>
      </c>
      <c r="C163">
        <v>6636</v>
      </c>
      <c r="D163">
        <v>34</v>
      </c>
      <c r="E163" t="s">
        <v>10</v>
      </c>
      <c r="F163">
        <v>244871</v>
      </c>
      <c r="G163">
        <v>467</v>
      </c>
      <c r="H163">
        <v>5204</v>
      </c>
      <c r="I163">
        <v>2</v>
      </c>
      <c r="J163">
        <v>5673</v>
      </c>
      <c r="K163">
        <v>2.3167300333645061E-2</v>
      </c>
      <c r="L163">
        <v>12717176</v>
      </c>
      <c r="M163">
        <v>4.460896035409119E-4</v>
      </c>
    </row>
    <row r="164" spans="1:13" x14ac:dyDescent="0.2">
      <c r="A164" t="s">
        <v>65</v>
      </c>
      <c r="B164">
        <v>164</v>
      </c>
      <c r="C164">
        <v>1102</v>
      </c>
      <c r="D164">
        <v>91</v>
      </c>
      <c r="E164" t="s">
        <v>10</v>
      </c>
      <c r="F164">
        <v>264715</v>
      </c>
      <c r="G164">
        <v>6</v>
      </c>
      <c r="H164">
        <v>5402</v>
      </c>
      <c r="I164">
        <v>0</v>
      </c>
      <c r="J164">
        <v>5408</v>
      </c>
      <c r="K164">
        <v>2.0429518538805886E-2</v>
      </c>
      <c r="L164">
        <v>2025137</v>
      </c>
      <c r="M164">
        <v>2.6704366173745282E-3</v>
      </c>
    </row>
    <row r="165" spans="1:13" x14ac:dyDescent="0.2">
      <c r="A165" t="s">
        <v>84</v>
      </c>
      <c r="B165">
        <v>165</v>
      </c>
      <c r="C165">
        <v>469</v>
      </c>
      <c r="D165">
        <v>100</v>
      </c>
      <c r="E165" t="s">
        <v>6</v>
      </c>
      <c r="F165" t="s">
        <v>201</v>
      </c>
      <c r="G165" t="s">
        <v>201</v>
      </c>
      <c r="H165" t="s">
        <v>201</v>
      </c>
      <c r="I165" t="s">
        <v>201</v>
      </c>
      <c r="J165" t="s">
        <v>201</v>
      </c>
      <c r="K165" t="s">
        <v>201</v>
      </c>
      <c r="L165">
        <v>38274618</v>
      </c>
      <c r="M165" t="s">
        <v>201</v>
      </c>
    </row>
    <row r="166" spans="1:13" x14ac:dyDescent="0.2">
      <c r="A166" t="s">
        <v>35</v>
      </c>
      <c r="B166">
        <v>166</v>
      </c>
      <c r="C166">
        <v>1597</v>
      </c>
      <c r="D166">
        <v>60</v>
      </c>
      <c r="E166" t="s">
        <v>10</v>
      </c>
      <c r="F166">
        <v>466295</v>
      </c>
      <c r="G166">
        <v>3706</v>
      </c>
      <c r="H166">
        <v>10105</v>
      </c>
      <c r="I166">
        <v>979</v>
      </c>
      <c r="J166">
        <v>14790</v>
      </c>
      <c r="K166">
        <v>3.1718118358549846E-2</v>
      </c>
      <c r="L166">
        <v>24053727</v>
      </c>
      <c r="M166">
        <v>6.1487352874670944E-4</v>
      </c>
    </row>
    <row r="167" spans="1:13" x14ac:dyDescent="0.2">
      <c r="A167" t="s">
        <v>107</v>
      </c>
      <c r="B167">
        <v>167</v>
      </c>
      <c r="C167">
        <v>5699</v>
      </c>
      <c r="D167">
        <v>23</v>
      </c>
      <c r="E167" t="s">
        <v>10</v>
      </c>
      <c r="F167">
        <v>591575</v>
      </c>
      <c r="G167">
        <v>3194</v>
      </c>
      <c r="H167">
        <v>4987</v>
      </c>
      <c r="I167">
        <v>2617</v>
      </c>
      <c r="J167">
        <v>10798</v>
      </c>
      <c r="K167">
        <v>1.8252968769809409E-2</v>
      </c>
      <c r="L167">
        <v>25570895</v>
      </c>
      <c r="M167">
        <v>4.2227696762276015E-4</v>
      </c>
    </row>
    <row r="168" spans="1:13" x14ac:dyDescent="0.2">
      <c r="A168" t="s">
        <v>167</v>
      </c>
      <c r="B168">
        <v>168</v>
      </c>
      <c r="C168">
        <v>2687</v>
      </c>
      <c r="D168">
        <v>39</v>
      </c>
      <c r="E168" t="s">
        <v>10</v>
      </c>
      <c r="F168">
        <v>1886068</v>
      </c>
      <c r="G168">
        <v>58319.986443152819</v>
      </c>
      <c r="H168">
        <v>66150.270588183601</v>
      </c>
      <c r="I168">
        <v>46447.633541774252</v>
      </c>
      <c r="J168">
        <v>170917.89057311066</v>
      </c>
      <c r="K168">
        <v>9.0621276949246085E-2</v>
      </c>
      <c r="L168">
        <v>40533330</v>
      </c>
      <c r="M168">
        <v>4.2167246207777814E-3</v>
      </c>
    </row>
    <row r="169" spans="1:13" x14ac:dyDescent="0.2">
      <c r="A169" t="s">
        <v>130</v>
      </c>
      <c r="B169">
        <v>169</v>
      </c>
      <c r="C169">
        <v>440</v>
      </c>
      <c r="D169">
        <v>59</v>
      </c>
      <c r="E169" t="s">
        <v>10</v>
      </c>
      <c r="F169">
        <v>909481</v>
      </c>
      <c r="G169">
        <v>10045</v>
      </c>
      <c r="H169">
        <v>32456</v>
      </c>
      <c r="I169">
        <v>12867</v>
      </c>
      <c r="J169">
        <v>55368</v>
      </c>
      <c r="K169">
        <v>6.0878676959716584E-2</v>
      </c>
      <c r="L169">
        <v>190886311</v>
      </c>
      <c r="M169">
        <v>2.9005746776676931E-4</v>
      </c>
    </row>
    <row r="170" spans="1:13" x14ac:dyDescent="0.2">
      <c r="A170" t="s">
        <v>123</v>
      </c>
      <c r="B170">
        <v>170</v>
      </c>
      <c r="C170">
        <v>1270</v>
      </c>
      <c r="D170">
        <v>57</v>
      </c>
      <c r="E170" t="s">
        <v>6</v>
      </c>
      <c r="F170" t="s">
        <v>201</v>
      </c>
      <c r="G170" t="s">
        <v>201</v>
      </c>
      <c r="H170" t="s">
        <v>201</v>
      </c>
      <c r="I170" t="s">
        <v>201</v>
      </c>
      <c r="J170" t="s">
        <v>201</v>
      </c>
      <c r="K170" t="s">
        <v>201</v>
      </c>
      <c r="L170">
        <v>53370609</v>
      </c>
      <c r="M170" t="s">
        <v>201</v>
      </c>
    </row>
    <row r="171" spans="1:13" x14ac:dyDescent="0.2">
      <c r="A171" t="s">
        <v>52</v>
      </c>
      <c r="B171">
        <v>171</v>
      </c>
      <c r="C171">
        <v>6380</v>
      </c>
      <c r="D171">
        <v>52</v>
      </c>
      <c r="E171" t="s">
        <v>6</v>
      </c>
      <c r="F171">
        <v>21679</v>
      </c>
      <c r="G171">
        <v>852</v>
      </c>
      <c r="H171">
        <v>947</v>
      </c>
      <c r="I171">
        <v>934</v>
      </c>
      <c r="J171">
        <v>2733</v>
      </c>
      <c r="K171">
        <v>0.12606670049356519</v>
      </c>
      <c r="L171">
        <v>956985</v>
      </c>
      <c r="M171">
        <v>2.8558441354880173E-3</v>
      </c>
    </row>
    <row r="172" spans="1:13" x14ac:dyDescent="0.2">
      <c r="A172" t="s">
        <v>74</v>
      </c>
      <c r="B172">
        <v>172</v>
      </c>
      <c r="C172">
        <v>1520</v>
      </c>
      <c r="D172">
        <v>15</v>
      </c>
      <c r="E172" t="s">
        <v>10</v>
      </c>
      <c r="F172">
        <v>33974</v>
      </c>
      <c r="G172">
        <v>906</v>
      </c>
      <c r="H172">
        <v>1493</v>
      </c>
      <c r="I172">
        <v>124</v>
      </c>
      <c r="J172">
        <v>2523</v>
      </c>
      <c r="K172">
        <v>7.4262671454641785E-2</v>
      </c>
      <c r="L172">
        <v>1861283</v>
      </c>
      <c r="M172">
        <v>1.3555165979595794E-3</v>
      </c>
    </row>
    <row r="173" spans="1:13" x14ac:dyDescent="0.2">
      <c r="A173" t="s">
        <v>171</v>
      </c>
      <c r="B173">
        <v>173</v>
      </c>
      <c r="C173">
        <v>312</v>
      </c>
      <c r="D173">
        <v>100</v>
      </c>
      <c r="E173" t="s">
        <v>6</v>
      </c>
      <c r="F173" t="s">
        <v>201</v>
      </c>
      <c r="G173" t="s">
        <v>201</v>
      </c>
      <c r="H173" t="s">
        <v>201</v>
      </c>
      <c r="I173" t="s">
        <v>201</v>
      </c>
      <c r="J173" t="s">
        <v>201</v>
      </c>
      <c r="K173" t="s">
        <v>201</v>
      </c>
      <c r="L173">
        <v>18269868</v>
      </c>
      <c r="M173" t="s">
        <v>201</v>
      </c>
    </row>
    <row r="174" spans="1:13" x14ac:dyDescent="0.2">
      <c r="A174" t="s">
        <v>102</v>
      </c>
      <c r="B174">
        <v>174</v>
      </c>
      <c r="C174">
        <v>4067</v>
      </c>
      <c r="D174">
        <v>20</v>
      </c>
      <c r="E174" t="s">
        <v>10</v>
      </c>
      <c r="F174">
        <v>95877</v>
      </c>
      <c r="G174">
        <v>0</v>
      </c>
      <c r="H174">
        <v>667</v>
      </c>
      <c r="I174">
        <v>0</v>
      </c>
      <c r="J174">
        <v>667</v>
      </c>
      <c r="K174">
        <v>6.9568301052390039E-3</v>
      </c>
      <c r="L174">
        <v>4731906</v>
      </c>
      <c r="M174">
        <v>1.4095799874300124E-4</v>
      </c>
    </row>
    <row r="175" spans="1:13" x14ac:dyDescent="0.2">
      <c r="A175" t="s">
        <v>175</v>
      </c>
      <c r="B175">
        <v>175</v>
      </c>
      <c r="C175">
        <v>1218</v>
      </c>
      <c r="D175">
        <v>63</v>
      </c>
      <c r="E175" t="s">
        <v>6</v>
      </c>
      <c r="F175" t="s">
        <v>201</v>
      </c>
      <c r="G175" t="s">
        <v>201</v>
      </c>
      <c r="H175" t="s">
        <v>201</v>
      </c>
      <c r="I175" t="s">
        <v>201</v>
      </c>
      <c r="J175" t="s">
        <v>201</v>
      </c>
      <c r="K175" t="s">
        <v>201</v>
      </c>
      <c r="L175">
        <v>1296311</v>
      </c>
      <c r="M175" t="s">
        <v>201</v>
      </c>
    </row>
    <row r="176" spans="1:13" x14ac:dyDescent="0.2">
      <c r="A176" t="s">
        <v>19</v>
      </c>
      <c r="B176">
        <v>176</v>
      </c>
      <c r="C176">
        <v>2865</v>
      </c>
      <c r="D176">
        <v>76</v>
      </c>
      <c r="E176" t="s">
        <v>6</v>
      </c>
      <c r="F176" t="s">
        <v>201</v>
      </c>
      <c r="G176" t="s">
        <v>201</v>
      </c>
      <c r="H176" t="s">
        <v>201</v>
      </c>
      <c r="I176" t="s">
        <v>201</v>
      </c>
      <c r="J176" t="s">
        <v>201</v>
      </c>
      <c r="K176" t="s">
        <v>201</v>
      </c>
      <c r="L176">
        <v>164669751</v>
      </c>
      <c r="M176" t="s">
        <v>201</v>
      </c>
    </row>
    <row r="177" spans="1:13" x14ac:dyDescent="0.2">
      <c r="A177" t="s">
        <v>44</v>
      </c>
      <c r="B177">
        <v>177</v>
      </c>
      <c r="C177">
        <v>5469</v>
      </c>
      <c r="D177">
        <v>57</v>
      </c>
      <c r="E177" t="s">
        <v>10</v>
      </c>
      <c r="F177">
        <v>341574</v>
      </c>
      <c r="G177">
        <v>2</v>
      </c>
      <c r="H177">
        <v>6778</v>
      </c>
      <c r="I177">
        <v>0</v>
      </c>
      <c r="J177">
        <v>6780</v>
      </c>
      <c r="K177">
        <v>1.9849285952677896E-2</v>
      </c>
      <c r="L177">
        <v>5260750</v>
      </c>
      <c r="M177">
        <v>1.2887896212517226E-3</v>
      </c>
    </row>
    <row r="178" spans="1:13" x14ac:dyDescent="0.2">
      <c r="A178" t="s">
        <v>58</v>
      </c>
      <c r="B178">
        <v>178</v>
      </c>
      <c r="C178">
        <v>1085</v>
      </c>
      <c r="D178">
        <v>68</v>
      </c>
      <c r="E178" t="s">
        <v>10</v>
      </c>
      <c r="F178">
        <v>26987</v>
      </c>
      <c r="G178">
        <v>0</v>
      </c>
      <c r="H178">
        <v>706</v>
      </c>
      <c r="I178">
        <v>0</v>
      </c>
      <c r="J178">
        <v>706</v>
      </c>
      <c r="K178">
        <v>2.6160744061955756E-2</v>
      </c>
      <c r="L178">
        <v>1267689</v>
      </c>
      <c r="M178">
        <v>5.5691892885400131E-4</v>
      </c>
    </row>
    <row r="179" spans="1:13" x14ac:dyDescent="0.2">
      <c r="A179" t="s">
        <v>192</v>
      </c>
      <c r="B179">
        <v>179</v>
      </c>
      <c r="C179">
        <v>0</v>
      </c>
      <c r="D179">
        <v>72</v>
      </c>
      <c r="E179" t="s">
        <v>6</v>
      </c>
      <c r="F179" t="s">
        <v>201</v>
      </c>
      <c r="G179" t="s">
        <v>201</v>
      </c>
      <c r="H179" t="s">
        <v>201</v>
      </c>
      <c r="I179" t="s">
        <v>201</v>
      </c>
      <c r="J179" t="s">
        <v>201</v>
      </c>
      <c r="K179" t="s">
        <v>201</v>
      </c>
      <c r="L179">
        <v>28250420</v>
      </c>
      <c r="M179" t="s">
        <v>201</v>
      </c>
    </row>
    <row r="180" spans="1:13" x14ac:dyDescent="0.2">
      <c r="A180" t="s">
        <v>38</v>
      </c>
      <c r="B180">
        <v>180</v>
      </c>
      <c r="C180">
        <v>8527</v>
      </c>
      <c r="D180">
        <v>9</v>
      </c>
      <c r="E180" t="s">
        <v>10</v>
      </c>
      <c r="F180">
        <v>1269961</v>
      </c>
      <c r="G180">
        <v>10284</v>
      </c>
      <c r="H180">
        <v>10506</v>
      </c>
      <c r="I180">
        <v>9165</v>
      </c>
      <c r="J180">
        <v>29955</v>
      </c>
      <c r="K180">
        <v>2.358733850882035E-2</v>
      </c>
      <c r="L180">
        <v>14899994</v>
      </c>
      <c r="M180">
        <v>2.0104034941222123E-3</v>
      </c>
    </row>
    <row r="181" spans="1:13" x14ac:dyDescent="0.2">
      <c r="A181" t="s">
        <v>76</v>
      </c>
      <c r="B181">
        <v>181</v>
      </c>
      <c r="C181">
        <v>3709</v>
      </c>
      <c r="D181">
        <v>39</v>
      </c>
      <c r="E181" t="s">
        <v>6</v>
      </c>
      <c r="F181" t="s">
        <v>201</v>
      </c>
      <c r="G181" t="s">
        <v>201</v>
      </c>
      <c r="H181" t="s">
        <v>201</v>
      </c>
      <c r="I181" t="s">
        <v>201</v>
      </c>
      <c r="J181" t="s">
        <v>201</v>
      </c>
      <c r="K181" t="s">
        <v>201</v>
      </c>
      <c r="L181">
        <v>10981229</v>
      </c>
      <c r="M181" t="s">
        <v>201</v>
      </c>
    </row>
    <row r="182" spans="1:13" x14ac:dyDescent="0.2">
      <c r="A182" t="s">
        <v>9</v>
      </c>
      <c r="B182">
        <v>182</v>
      </c>
      <c r="C182">
        <v>1197</v>
      </c>
      <c r="D182">
        <v>41</v>
      </c>
      <c r="E182" t="s">
        <v>10</v>
      </c>
      <c r="F182">
        <v>1247357</v>
      </c>
      <c r="G182">
        <v>9786</v>
      </c>
      <c r="H182">
        <v>13319</v>
      </c>
      <c r="I182">
        <v>202</v>
      </c>
      <c r="J182">
        <v>23307</v>
      </c>
      <c r="K182">
        <v>1.8685107791915227E-2</v>
      </c>
      <c r="L182">
        <v>29784193</v>
      </c>
      <c r="M182">
        <v>7.8252917579469078E-4</v>
      </c>
    </row>
    <row r="183" spans="1:13" x14ac:dyDescent="0.2">
      <c r="A183" t="s">
        <v>5</v>
      </c>
      <c r="B183">
        <v>183</v>
      </c>
      <c r="C183">
        <v>2275</v>
      </c>
      <c r="D183">
        <v>84</v>
      </c>
      <c r="E183" t="s">
        <v>6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>
        <v>35530081</v>
      </c>
      <c r="M183" t="s">
        <v>201</v>
      </c>
    </row>
    <row r="184" spans="1:13" x14ac:dyDescent="0.2">
      <c r="A184" t="s">
        <v>43</v>
      </c>
      <c r="B184">
        <v>184</v>
      </c>
      <c r="C184">
        <v>15264</v>
      </c>
      <c r="D184">
        <v>17</v>
      </c>
      <c r="E184" t="s">
        <v>10</v>
      </c>
      <c r="F184">
        <v>2327986</v>
      </c>
      <c r="G184">
        <v>12439</v>
      </c>
      <c r="H184">
        <v>22862</v>
      </c>
      <c r="I184">
        <v>2173</v>
      </c>
      <c r="J184">
        <v>37474</v>
      </c>
      <c r="K184">
        <v>1.6097175842122762E-2</v>
      </c>
      <c r="L184">
        <v>81339988</v>
      </c>
      <c r="M184">
        <v>4.6070820664492843E-4</v>
      </c>
    </row>
    <row r="185" spans="1:13" x14ac:dyDescent="0.2">
      <c r="A185" t="s">
        <v>37</v>
      </c>
      <c r="B185">
        <v>185</v>
      </c>
      <c r="C185">
        <v>15810</v>
      </c>
      <c r="D185">
        <v>14</v>
      </c>
      <c r="E185" t="s">
        <v>10</v>
      </c>
      <c r="F185">
        <v>620200</v>
      </c>
      <c r="G185">
        <v>3471</v>
      </c>
      <c r="H185">
        <v>5284</v>
      </c>
      <c r="I185">
        <v>79</v>
      </c>
      <c r="J185">
        <v>8834</v>
      </c>
      <c r="K185">
        <v>1.4243792325056433E-2</v>
      </c>
      <c r="L185">
        <v>4659080</v>
      </c>
      <c r="M185">
        <v>1.8960824883882655E-3</v>
      </c>
    </row>
    <row r="186" spans="1:13" x14ac:dyDescent="0.2">
      <c r="A186" t="s">
        <v>161</v>
      </c>
      <c r="B186">
        <v>186</v>
      </c>
      <c r="C186">
        <v>0</v>
      </c>
      <c r="D186">
        <v>9</v>
      </c>
      <c r="E186" t="s">
        <v>10</v>
      </c>
      <c r="F186">
        <v>619745</v>
      </c>
      <c r="G186">
        <v>19163.423587172754</v>
      </c>
      <c r="H186">
        <v>21736.384608441396</v>
      </c>
      <c r="I186">
        <v>15262.275087296366</v>
      </c>
      <c r="J186">
        <v>56162.08328291052</v>
      </c>
      <c r="K186">
        <v>9.0621276949246099E-2</v>
      </c>
      <c r="L186">
        <v>12575714</v>
      </c>
      <c r="M186">
        <v>4.4659160730683382E-3</v>
      </c>
    </row>
    <row r="187" spans="1:13" x14ac:dyDescent="0.2">
      <c r="A187" t="s">
        <v>189</v>
      </c>
      <c r="B187">
        <v>187</v>
      </c>
      <c r="C187">
        <v>18867</v>
      </c>
      <c r="D187">
        <v>100</v>
      </c>
      <c r="E187" t="s">
        <v>6</v>
      </c>
      <c r="F187" t="s">
        <v>201</v>
      </c>
      <c r="G187" t="s">
        <v>201</v>
      </c>
      <c r="H187" t="s">
        <v>201</v>
      </c>
      <c r="I187" t="s">
        <v>201</v>
      </c>
      <c r="J187" t="s">
        <v>201</v>
      </c>
      <c r="K187" t="s">
        <v>201</v>
      </c>
      <c r="L187">
        <v>31977065</v>
      </c>
      <c r="M187" t="s">
        <v>201</v>
      </c>
    </row>
    <row r="188" spans="1:13" x14ac:dyDescent="0.2">
      <c r="A188" t="s">
        <v>103</v>
      </c>
      <c r="B188">
        <v>188</v>
      </c>
      <c r="C188">
        <v>442</v>
      </c>
      <c r="D188">
        <v>99</v>
      </c>
      <c r="E188" t="s">
        <v>6</v>
      </c>
      <c r="F188">
        <v>1616869</v>
      </c>
      <c r="G188">
        <v>11823</v>
      </c>
      <c r="H188">
        <v>13979</v>
      </c>
      <c r="I188">
        <v>21649</v>
      </c>
      <c r="J188">
        <v>47451</v>
      </c>
      <c r="K188">
        <v>2.9347461049720171E-2</v>
      </c>
      <c r="L188">
        <v>6374616</v>
      </c>
      <c r="M188">
        <v>7.4437424936655006E-3</v>
      </c>
    </row>
    <row r="189" spans="1:13" x14ac:dyDescent="0.2">
      <c r="A189" t="s">
        <v>59</v>
      </c>
      <c r="B189">
        <v>189</v>
      </c>
      <c r="C189">
        <v>0</v>
      </c>
      <c r="D189">
        <v>47</v>
      </c>
      <c r="E189" t="s">
        <v>10</v>
      </c>
      <c r="F189">
        <v>122098</v>
      </c>
      <c r="G189">
        <v>4349</v>
      </c>
      <c r="H189">
        <v>4775</v>
      </c>
      <c r="I189">
        <v>3154</v>
      </c>
      <c r="J189">
        <v>12278</v>
      </c>
      <c r="K189">
        <v>0.10055856770790676</v>
      </c>
      <c r="L189">
        <v>4954645</v>
      </c>
      <c r="M189">
        <v>2.4780786514472784E-3</v>
      </c>
    </row>
    <row r="190" spans="1:13" x14ac:dyDescent="0.2">
      <c r="A190" t="s">
        <v>159</v>
      </c>
      <c r="B190">
        <v>190</v>
      </c>
      <c r="C190">
        <v>0</v>
      </c>
      <c r="D190">
        <v>30</v>
      </c>
      <c r="E190" t="s">
        <v>10</v>
      </c>
      <c r="F190">
        <v>633217</v>
      </c>
      <c r="G190">
        <v>13156</v>
      </c>
      <c r="H190">
        <v>25687</v>
      </c>
      <c r="I190">
        <v>43539</v>
      </c>
      <c r="J190">
        <v>82382</v>
      </c>
      <c r="K190">
        <v>0.13010073955689755</v>
      </c>
      <c r="L190">
        <v>14742523</v>
      </c>
      <c r="M190">
        <v>5.5880530082944415E-3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52"/>
  <sheetViews>
    <sheetView workbookViewId="0">
      <selection activeCell="H17" sqref="H17"/>
    </sheetView>
  </sheetViews>
  <sheetFormatPr baseColWidth="10" defaultRowHeight="16" x14ac:dyDescent="0.2"/>
  <cols>
    <col min="1" max="1" width="21" bestFit="1" customWidth="1"/>
    <col min="2" max="2" width="14.5" bestFit="1" customWidth="1"/>
    <col min="3" max="3" width="17.1640625" bestFit="1" customWidth="1"/>
    <col min="4" max="4" width="19" bestFit="1" customWidth="1"/>
    <col min="5" max="18" width="5.1640625" bestFit="1" customWidth="1"/>
    <col min="19" max="41" width="6.1640625" bestFit="1" customWidth="1"/>
    <col min="42" max="43" width="7.1640625" bestFit="1" customWidth="1"/>
    <col min="44" max="44" width="6.83203125" bestFit="1" customWidth="1"/>
  </cols>
  <sheetData>
    <row r="1" spans="1:4" x14ac:dyDescent="0.2">
      <c r="A1" s="1" t="s">
        <v>4</v>
      </c>
      <c r="B1" t="s">
        <v>10</v>
      </c>
    </row>
    <row r="3" spans="1:4" x14ac:dyDescent="0.2">
      <c r="A3" s="1" t="s">
        <v>206</v>
      </c>
      <c r="B3" t="s">
        <v>208</v>
      </c>
      <c r="C3" t="s">
        <v>210</v>
      </c>
      <c r="D3" t="s">
        <v>209</v>
      </c>
    </row>
    <row r="4" spans="1:4" x14ac:dyDescent="0.2">
      <c r="A4" s="2" t="s">
        <v>9</v>
      </c>
      <c r="B4" s="3">
        <v>23307</v>
      </c>
      <c r="C4" s="4">
        <v>1.8685107791915227E-2</v>
      </c>
      <c r="D4" s="4">
        <v>7.8252917579469078E-4</v>
      </c>
    </row>
    <row r="5" spans="1:4" x14ac:dyDescent="0.2">
      <c r="A5" s="2" t="s">
        <v>24</v>
      </c>
      <c r="B5" s="3">
        <v>4303</v>
      </c>
      <c r="C5" s="4">
        <v>3.7241546437257127E-2</v>
      </c>
      <c r="D5" s="4">
        <v>3.8503208570887603E-4</v>
      </c>
    </row>
    <row r="6" spans="1:4" x14ac:dyDescent="0.2">
      <c r="A6" s="2" t="s">
        <v>28</v>
      </c>
      <c r="B6" s="3">
        <v>36627</v>
      </c>
      <c r="C6" s="4">
        <v>6.3359304184167006E-2</v>
      </c>
      <c r="D6" s="4">
        <v>1.5982730430024336E-2</v>
      </c>
    </row>
    <row r="7" spans="1:4" x14ac:dyDescent="0.2">
      <c r="A7" s="2" t="s">
        <v>32</v>
      </c>
      <c r="B7" s="3">
        <v>11896</v>
      </c>
      <c r="C7" s="4">
        <v>4.3516591249126629E-2</v>
      </c>
      <c r="D7" s="4">
        <v>6.1979696960129274E-4</v>
      </c>
    </row>
    <row r="8" spans="1:4" x14ac:dyDescent="0.2">
      <c r="A8" s="2" t="s">
        <v>33</v>
      </c>
      <c r="B8" s="3">
        <v>1674</v>
      </c>
      <c r="C8" s="4">
        <v>6.211733273961928E-2</v>
      </c>
      <c r="D8" s="4">
        <v>1.5408341766961258E-4</v>
      </c>
    </row>
    <row r="9" spans="1:4" x14ac:dyDescent="0.2">
      <c r="A9" s="2" t="s">
        <v>204</v>
      </c>
      <c r="B9" s="3">
        <v>0</v>
      </c>
      <c r="C9" s="4">
        <v>0</v>
      </c>
      <c r="D9" s="4">
        <v>0</v>
      </c>
    </row>
    <row r="10" spans="1:4" x14ac:dyDescent="0.2">
      <c r="A10" s="2" t="s">
        <v>35</v>
      </c>
      <c r="B10" s="3">
        <v>14790</v>
      </c>
      <c r="C10" s="4">
        <v>3.1718118358549846E-2</v>
      </c>
      <c r="D10" s="4">
        <v>6.1487352874670944E-4</v>
      </c>
    </row>
    <row r="11" spans="1:4" x14ac:dyDescent="0.2">
      <c r="A11" s="2" t="s">
        <v>37</v>
      </c>
      <c r="B11" s="3">
        <v>8834</v>
      </c>
      <c r="C11" s="4">
        <v>1.4243792325056433E-2</v>
      </c>
      <c r="D11" s="4">
        <v>1.8960824883882655E-3</v>
      </c>
    </row>
    <row r="12" spans="1:4" x14ac:dyDescent="0.2">
      <c r="A12" s="2" t="s">
        <v>38</v>
      </c>
      <c r="B12" s="3">
        <v>29955</v>
      </c>
      <c r="C12" s="4">
        <v>2.358733850882035E-2</v>
      </c>
      <c r="D12" s="4">
        <v>2.0104034941222123E-3</v>
      </c>
    </row>
    <row r="13" spans="1:4" x14ac:dyDescent="0.2">
      <c r="A13" s="2" t="s">
        <v>42</v>
      </c>
      <c r="B13" s="3">
        <v>0</v>
      </c>
      <c r="C13" s="4">
        <v>0</v>
      </c>
      <c r="D13" s="4">
        <v>0</v>
      </c>
    </row>
    <row r="14" spans="1:4" x14ac:dyDescent="0.2">
      <c r="A14" s="2" t="s">
        <v>43</v>
      </c>
      <c r="B14" s="3">
        <v>37474</v>
      </c>
      <c r="C14" s="4">
        <v>1.6097175842122762E-2</v>
      </c>
      <c r="D14" s="4">
        <v>4.6070820664492843E-4</v>
      </c>
    </row>
    <row r="15" spans="1:4" x14ac:dyDescent="0.2">
      <c r="A15" s="2" t="s">
        <v>44</v>
      </c>
      <c r="B15" s="3">
        <v>6780</v>
      </c>
      <c r="C15" s="4">
        <v>1.9849285952677896E-2</v>
      </c>
      <c r="D15" s="4">
        <v>1.2887896212517226E-3</v>
      </c>
    </row>
    <row r="16" spans="1:4" x14ac:dyDescent="0.2">
      <c r="A16" s="2" t="s">
        <v>46</v>
      </c>
      <c r="B16" s="3">
        <v>10976</v>
      </c>
      <c r="C16" s="4">
        <v>3.4099452594429015E-2</v>
      </c>
      <c r="D16" s="4">
        <v>4.5178485063645439E-4</v>
      </c>
    </row>
    <row r="17" spans="1:4" x14ac:dyDescent="0.2">
      <c r="A17" s="2" t="s">
        <v>58</v>
      </c>
      <c r="B17" s="3">
        <v>706</v>
      </c>
      <c r="C17" s="4">
        <v>2.6160744061955756E-2</v>
      </c>
      <c r="D17" s="4">
        <v>5.5691892885400131E-4</v>
      </c>
    </row>
    <row r="18" spans="1:4" x14ac:dyDescent="0.2">
      <c r="A18" s="2" t="s">
        <v>59</v>
      </c>
      <c r="B18" s="3">
        <v>12278</v>
      </c>
      <c r="C18" s="4">
        <v>0.10055856770790676</v>
      </c>
      <c r="D18" s="4">
        <v>0</v>
      </c>
    </row>
    <row r="19" spans="1:4" x14ac:dyDescent="0.2">
      <c r="A19" s="2" t="s">
        <v>203</v>
      </c>
      <c r="B19" s="3">
        <v>1607</v>
      </c>
      <c r="C19" s="4">
        <v>9.2949274104922208E-2</v>
      </c>
      <c r="D19" s="4">
        <v>1.1753485453324694E-3</v>
      </c>
    </row>
    <row r="20" spans="1:4" x14ac:dyDescent="0.2">
      <c r="A20" s="2" t="s">
        <v>61</v>
      </c>
      <c r="B20" s="3">
        <v>64951</v>
      </c>
      <c r="C20" s="4">
        <v>5.7602019187961498E-2</v>
      </c>
      <c r="D20" s="4">
        <v>6.1883179732340643E-4</v>
      </c>
    </row>
    <row r="21" spans="1:4" x14ac:dyDescent="0.2">
      <c r="A21" s="2" t="s">
        <v>65</v>
      </c>
      <c r="B21" s="3">
        <v>5408</v>
      </c>
      <c r="C21" s="4">
        <v>2.0429518538805886E-2</v>
      </c>
      <c r="D21" s="4">
        <v>2.6704366173745282E-3</v>
      </c>
    </row>
    <row r="22" spans="1:4" x14ac:dyDescent="0.2">
      <c r="A22" s="2" t="s">
        <v>66</v>
      </c>
      <c r="B22" s="3">
        <v>963</v>
      </c>
      <c r="C22" s="4">
        <v>8.9191442067240903E-2</v>
      </c>
      <c r="D22" s="4">
        <v>4.584474294571754E-4</v>
      </c>
    </row>
    <row r="23" spans="1:4" x14ac:dyDescent="0.2">
      <c r="A23" s="2" t="s">
        <v>69</v>
      </c>
      <c r="B23" s="3">
        <v>8479</v>
      </c>
      <c r="C23" s="4">
        <v>3.5512499947646388E-2</v>
      </c>
      <c r="D23" s="4">
        <v>2.9406634870692136E-4</v>
      </c>
    </row>
    <row r="24" spans="1:4" x14ac:dyDescent="0.2">
      <c r="A24" s="2" t="s">
        <v>73</v>
      </c>
      <c r="B24" s="3">
        <v>5673</v>
      </c>
      <c r="C24" s="4">
        <v>2.3167300333645061E-2</v>
      </c>
      <c r="D24" s="4">
        <v>4.460896035409119E-4</v>
      </c>
    </row>
    <row r="25" spans="1:4" x14ac:dyDescent="0.2">
      <c r="A25" s="2" t="s">
        <v>74</v>
      </c>
      <c r="B25" s="3">
        <v>2523</v>
      </c>
      <c r="C25" s="4">
        <v>7.4262671454641785E-2</v>
      </c>
      <c r="D25" s="4">
        <v>1.3555165979595794E-3</v>
      </c>
    </row>
    <row r="26" spans="1:4" x14ac:dyDescent="0.2">
      <c r="A26" s="2" t="s">
        <v>92</v>
      </c>
      <c r="B26" s="3">
        <v>60921</v>
      </c>
      <c r="C26" s="4">
        <v>0.10462977434208154</v>
      </c>
      <c r="D26" s="4">
        <v>1.2257780514561591E-3</v>
      </c>
    </row>
    <row r="27" spans="1:4" x14ac:dyDescent="0.2">
      <c r="A27" s="2" t="s">
        <v>101</v>
      </c>
      <c r="B27" s="3">
        <v>2659</v>
      </c>
      <c r="C27" s="4">
        <v>8.7312011558415975E-2</v>
      </c>
      <c r="D27" s="4">
        <v>1.190593994015239E-3</v>
      </c>
    </row>
    <row r="28" spans="1:4" x14ac:dyDescent="0.2">
      <c r="A28" s="2" t="s">
        <v>102</v>
      </c>
      <c r="B28" s="3">
        <v>667</v>
      </c>
      <c r="C28" s="4">
        <v>6.9568301052390039E-3</v>
      </c>
      <c r="D28" s="4">
        <v>1.4095799874300124E-4</v>
      </c>
    </row>
    <row r="29" spans="1:4" x14ac:dyDescent="0.2">
      <c r="A29" s="2" t="s">
        <v>107</v>
      </c>
      <c r="B29" s="3">
        <v>10798</v>
      </c>
      <c r="C29" s="4">
        <v>1.8252968769809409E-2</v>
      </c>
      <c r="D29" s="4">
        <v>4.2227696762276015E-4</v>
      </c>
    </row>
    <row r="30" spans="1:4" x14ac:dyDescent="0.2">
      <c r="A30" s="2" t="s">
        <v>108</v>
      </c>
      <c r="B30" s="3">
        <v>11670</v>
      </c>
      <c r="C30" s="4">
        <v>9.884636885704122E-2</v>
      </c>
      <c r="D30" s="4">
        <v>6.266746228030946E-4</v>
      </c>
    </row>
    <row r="31" spans="1:4" x14ac:dyDescent="0.2">
      <c r="A31" s="2" t="s">
        <v>111</v>
      </c>
      <c r="B31" s="3">
        <v>9829</v>
      </c>
      <c r="C31" s="4">
        <v>7.8533111106494705E-3</v>
      </c>
      <c r="D31" s="4">
        <v>5.300944127865525E-4</v>
      </c>
    </row>
    <row r="32" spans="1:4" x14ac:dyDescent="0.2">
      <c r="A32" s="2" t="s">
        <v>114</v>
      </c>
      <c r="B32" s="3">
        <v>24800</v>
      </c>
      <c r="C32" s="4">
        <v>2.3829244247831827E-2</v>
      </c>
      <c r="D32" s="4">
        <v>5.610626163978694E-3</v>
      </c>
    </row>
    <row r="33" spans="1:4" x14ac:dyDescent="0.2">
      <c r="A33" s="2" t="s">
        <v>115</v>
      </c>
      <c r="B33" s="3">
        <v>0</v>
      </c>
      <c r="C33" s="4">
        <v>0</v>
      </c>
      <c r="D33" s="4">
        <v>0</v>
      </c>
    </row>
    <row r="34" spans="1:4" x14ac:dyDescent="0.2">
      <c r="A34" s="2" t="s">
        <v>122</v>
      </c>
      <c r="B34" s="3">
        <v>49680</v>
      </c>
      <c r="C34" s="4">
        <v>6.31983879831471E-2</v>
      </c>
      <c r="D34" s="4">
        <v>1.6744844101389358E-3</v>
      </c>
    </row>
    <row r="35" spans="1:4" x14ac:dyDescent="0.2">
      <c r="A35" s="2" t="s">
        <v>124</v>
      </c>
      <c r="B35" s="3">
        <v>71095</v>
      </c>
      <c r="C35" s="4">
        <v>8.6258879768989508E-2</v>
      </c>
      <c r="D35" s="4">
        <v>2.8058713533933698E-2</v>
      </c>
    </row>
    <row r="36" spans="1:4" x14ac:dyDescent="0.2">
      <c r="A36" s="2" t="s">
        <v>129</v>
      </c>
      <c r="B36" s="3">
        <v>39126</v>
      </c>
      <c r="C36" s="4">
        <v>3.3052140372337099E-2</v>
      </c>
      <c r="D36" s="4">
        <v>1.8217332977982198E-3</v>
      </c>
    </row>
    <row r="37" spans="1:4" x14ac:dyDescent="0.2">
      <c r="A37" s="2" t="s">
        <v>130</v>
      </c>
      <c r="B37" s="3">
        <v>55368</v>
      </c>
      <c r="C37" s="4">
        <v>6.0878676959716584E-2</v>
      </c>
      <c r="D37" s="4">
        <v>2.9005746776676931E-4</v>
      </c>
    </row>
    <row r="38" spans="1:4" x14ac:dyDescent="0.2">
      <c r="A38" s="2" t="s">
        <v>146</v>
      </c>
      <c r="B38" s="3">
        <v>1681</v>
      </c>
      <c r="C38" s="4">
        <v>6.6690470522891371E-2</v>
      </c>
      <c r="D38" s="4">
        <v>1.3769200191310791E-4</v>
      </c>
    </row>
    <row r="39" spans="1:4" x14ac:dyDescent="0.2">
      <c r="A39" s="2" t="s">
        <v>149</v>
      </c>
      <c r="B39" s="3">
        <v>0</v>
      </c>
      <c r="C39" s="4">
        <v>0</v>
      </c>
      <c r="D39" s="4">
        <v>0</v>
      </c>
    </row>
    <row r="40" spans="1:4" x14ac:dyDescent="0.2">
      <c r="A40" s="2" t="s">
        <v>151</v>
      </c>
      <c r="B40" s="3">
        <v>14510</v>
      </c>
      <c r="C40" s="4">
        <v>7.3744288756410065E-2</v>
      </c>
      <c r="D40" s="4">
        <v>9.1542466588103756E-4</v>
      </c>
    </row>
    <row r="41" spans="1:4" x14ac:dyDescent="0.2">
      <c r="A41" s="2" t="s">
        <v>153</v>
      </c>
      <c r="B41" s="3">
        <v>0</v>
      </c>
      <c r="C41" s="4">
        <v>0</v>
      </c>
      <c r="D41" s="4">
        <v>0</v>
      </c>
    </row>
    <row r="42" spans="1:4" x14ac:dyDescent="0.2">
      <c r="A42" s="2" t="s">
        <v>154</v>
      </c>
      <c r="B42" s="3">
        <v>1696</v>
      </c>
      <c r="C42" s="4">
        <v>2.3450678908216033E-2</v>
      </c>
      <c r="D42" s="4">
        <v>2.2442138714647678E-4</v>
      </c>
    </row>
    <row r="43" spans="1:4" x14ac:dyDescent="0.2">
      <c r="A43" s="2" t="s">
        <v>159</v>
      </c>
      <c r="B43" s="3">
        <v>82382</v>
      </c>
      <c r="C43" s="4">
        <v>0.13010073955689755</v>
      </c>
      <c r="D43" s="4">
        <v>5.5880530082944415E-3</v>
      </c>
    </row>
    <row r="44" spans="1:4" x14ac:dyDescent="0.2">
      <c r="A44" s="2" t="s">
        <v>160</v>
      </c>
      <c r="B44" s="3">
        <v>126713</v>
      </c>
      <c r="C44" s="4">
        <v>0.10382958290519291</v>
      </c>
      <c r="D44" s="4">
        <v>2.2341211890102527E-3</v>
      </c>
    </row>
    <row r="45" spans="1:4" x14ac:dyDescent="0.2">
      <c r="A45" s="2" t="s">
        <v>161</v>
      </c>
      <c r="B45" s="3">
        <v>0</v>
      </c>
      <c r="C45" s="4">
        <v>0</v>
      </c>
      <c r="D45" s="4">
        <v>0</v>
      </c>
    </row>
    <row r="46" spans="1:4" x14ac:dyDescent="0.2">
      <c r="A46" s="2" t="s">
        <v>167</v>
      </c>
      <c r="B46" s="3">
        <v>226900</v>
      </c>
      <c r="C46" s="4">
        <v>9.0621276949246099E-2</v>
      </c>
      <c r="D46" s="4">
        <v>5.5978623024557812E-3</v>
      </c>
    </row>
    <row r="47" spans="1:4" x14ac:dyDescent="0.2">
      <c r="A47" s="2" t="s">
        <v>173</v>
      </c>
      <c r="B47" s="3">
        <v>88742</v>
      </c>
      <c r="C47" s="4">
        <v>9.423015254449657E-2</v>
      </c>
      <c r="D47" s="4">
        <v>1.5484552535220762E-3</v>
      </c>
    </row>
    <row r="48" spans="1:4" x14ac:dyDescent="0.2">
      <c r="A48" s="2" t="s">
        <v>176</v>
      </c>
      <c r="B48" s="3">
        <v>1336</v>
      </c>
      <c r="C48" s="4">
        <v>2.3422981170447773E-2</v>
      </c>
      <c r="D48" s="4">
        <v>1.7133270425846411E-4</v>
      </c>
    </row>
    <row r="49" spans="1:4" x14ac:dyDescent="0.2">
      <c r="A49" s="2" t="s">
        <v>181</v>
      </c>
      <c r="B49" s="3">
        <v>18867</v>
      </c>
      <c r="C49" s="4">
        <v>7.8196105736950738E-2</v>
      </c>
      <c r="D49" s="4">
        <v>4.4017027476265169E-4</v>
      </c>
    </row>
    <row r="50" spans="1:4" x14ac:dyDescent="0.2">
      <c r="A50" s="2" t="s">
        <v>193</v>
      </c>
      <c r="B50" s="3">
        <v>46814</v>
      </c>
      <c r="C50" s="4">
        <v>6.2309417488004365E-2</v>
      </c>
      <c r="D50" s="4">
        <v>2.7386009115409793E-3</v>
      </c>
    </row>
    <row r="51" spans="1:4" x14ac:dyDescent="0.2">
      <c r="A51" s="2" t="s">
        <v>194</v>
      </c>
      <c r="B51" s="3">
        <v>39695</v>
      </c>
      <c r="C51" s="4">
        <v>0.10161295689992807</v>
      </c>
      <c r="D51" s="4">
        <v>2.4014053560141666E-3</v>
      </c>
    </row>
    <row r="52" spans="1:4" x14ac:dyDescent="0.2">
      <c r="A52" s="2" t="s">
        <v>207</v>
      </c>
      <c r="B52" s="3">
        <v>1275153</v>
      </c>
      <c r="C52" s="4">
        <v>2.3236263289024084</v>
      </c>
      <c r="D52" s="4">
        <v>9.5812000112980647E-2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M16"/>
  <sheetViews>
    <sheetView tabSelected="1" workbookViewId="0">
      <selection activeCell="E19" sqref="E19"/>
    </sheetView>
  </sheetViews>
  <sheetFormatPr baseColWidth="10" defaultRowHeight="16" x14ac:dyDescent="0.2"/>
  <cols>
    <col min="1" max="1" width="2.83203125" customWidth="1"/>
    <col min="2" max="3" width="21" bestFit="1" customWidth="1"/>
    <col min="4" max="4" width="7.1640625" customWidth="1"/>
    <col min="6" max="6" width="11.33203125" bestFit="1" customWidth="1"/>
    <col min="7" max="9" width="11.33203125" customWidth="1"/>
    <col min="12" max="13" width="21.1640625" bestFit="1" customWidth="1"/>
  </cols>
  <sheetData>
    <row r="1" spans="2:13" ht="12" customHeight="1" x14ac:dyDescent="0.2"/>
    <row r="2" spans="2:13" x14ac:dyDescent="0.2">
      <c r="E2" t="s">
        <v>212</v>
      </c>
    </row>
    <row r="3" spans="2:13" x14ac:dyDescent="0.2">
      <c r="B3" t="s">
        <v>220</v>
      </c>
      <c r="C3" t="s">
        <v>221</v>
      </c>
      <c r="E3" s="6" t="s">
        <v>211</v>
      </c>
    </row>
    <row r="4" spans="2:13" x14ac:dyDescent="0.2">
      <c r="B4" t="s">
        <v>161</v>
      </c>
      <c r="C4" t="s">
        <v>161</v>
      </c>
    </row>
    <row r="5" spans="2:13" x14ac:dyDescent="0.2">
      <c r="B5" t="s">
        <v>108</v>
      </c>
      <c r="C5" s="6" t="s">
        <v>38</v>
      </c>
      <c r="E5" s="9" t="s">
        <v>217</v>
      </c>
      <c r="F5" s="9" t="s">
        <v>0</v>
      </c>
      <c r="G5" s="9" t="s">
        <v>196</v>
      </c>
      <c r="H5" s="9" t="s">
        <v>197</v>
      </c>
      <c r="I5" s="9" t="s">
        <v>198</v>
      </c>
      <c r="J5" s="9" t="s">
        <v>213</v>
      </c>
      <c r="K5" s="9" t="s">
        <v>214</v>
      </c>
      <c r="L5" s="12" t="s">
        <v>218</v>
      </c>
      <c r="M5" s="12" t="s">
        <v>219</v>
      </c>
    </row>
    <row r="6" spans="2:13" x14ac:dyDescent="0.2">
      <c r="B6" t="s">
        <v>74</v>
      </c>
      <c r="C6" s="7" t="s">
        <v>37</v>
      </c>
      <c r="E6" s="11" t="s">
        <v>215</v>
      </c>
      <c r="F6" s="11" t="s">
        <v>167</v>
      </c>
      <c r="G6" s="11">
        <v>77422</v>
      </c>
      <c r="H6" s="11">
        <v>87817</v>
      </c>
      <c r="I6" s="11">
        <v>61661</v>
      </c>
      <c r="J6" s="11">
        <v>226900</v>
      </c>
      <c r="K6" s="11">
        <v>2503827</v>
      </c>
      <c r="L6" s="11">
        <f>J6/K6</f>
        <v>9.0621276949246099E-2</v>
      </c>
      <c r="M6" s="11"/>
    </row>
    <row r="7" spans="2:13" x14ac:dyDescent="0.2">
      <c r="B7" s="6" t="s">
        <v>122</v>
      </c>
      <c r="C7" s="6" t="s">
        <v>129</v>
      </c>
      <c r="E7" t="s">
        <v>216</v>
      </c>
      <c r="F7" t="s">
        <v>167</v>
      </c>
      <c r="G7" s="5">
        <f t="shared" ref="G7:J8" si="0">G$6*($K7/$K$6)</f>
        <v>58319.986443152819</v>
      </c>
      <c r="H7" s="5">
        <f t="shared" si="0"/>
        <v>66150.270588183601</v>
      </c>
      <c r="I7" s="5">
        <f t="shared" si="0"/>
        <v>46447.633541774252</v>
      </c>
      <c r="J7" s="5">
        <f>J$6*($K7/$K$6)</f>
        <v>170917.89057311066</v>
      </c>
      <c r="K7">
        <v>1886068</v>
      </c>
      <c r="L7">
        <f t="shared" ref="L7:L8" si="1">J7/K7</f>
        <v>9.0621276949246085E-2</v>
      </c>
      <c r="M7" t="e">
        <f>VLOOKUP($F7,master_formulas!$A$118:$M$143,12,FALSE)</f>
        <v>#N/A</v>
      </c>
    </row>
    <row r="8" spans="2:13" x14ac:dyDescent="0.2">
      <c r="B8" t="s">
        <v>33</v>
      </c>
      <c r="C8" s="6" t="s">
        <v>122</v>
      </c>
      <c r="E8" t="s">
        <v>216</v>
      </c>
      <c r="F8" t="s">
        <v>161</v>
      </c>
      <c r="G8" s="5">
        <f t="shared" si="0"/>
        <v>19163.423587172754</v>
      </c>
      <c r="H8" s="5">
        <f t="shared" si="0"/>
        <v>21736.384608441396</v>
      </c>
      <c r="I8" s="5">
        <f t="shared" si="0"/>
        <v>15262.275087296366</v>
      </c>
      <c r="J8" s="5">
        <f t="shared" si="0"/>
        <v>56162.08328291052</v>
      </c>
      <c r="K8">
        <v>619745</v>
      </c>
      <c r="L8">
        <f t="shared" si="1"/>
        <v>9.0621276949246099E-2</v>
      </c>
      <c r="M8" t="e">
        <f>VLOOKUP($F8,master_formulas!$A$118:$M$143,12,FALSE)</f>
        <v>#N/A</v>
      </c>
    </row>
    <row r="9" spans="2:13" x14ac:dyDescent="0.2">
      <c r="B9" t="s">
        <v>32</v>
      </c>
      <c r="C9" t="s">
        <v>74</v>
      </c>
      <c r="E9" s="13"/>
      <c r="F9" s="13"/>
      <c r="G9" s="13"/>
      <c r="H9" s="13"/>
      <c r="I9" s="13"/>
      <c r="J9" s="14">
        <f>(J6-SUM(J7:J8))/J6</f>
        <v>-7.9318579119076456E-4</v>
      </c>
      <c r="K9" s="14">
        <f>(K6-SUM(K7:K8))/K6</f>
        <v>-7.9318579119084501E-4</v>
      </c>
      <c r="L9" s="14">
        <f>(L6-SUM(L7:L8))/L6</f>
        <v>-1</v>
      </c>
    </row>
    <row r="10" spans="2:13" x14ac:dyDescent="0.2">
      <c r="B10" s="6" t="s">
        <v>129</v>
      </c>
      <c r="C10" t="s">
        <v>108</v>
      </c>
      <c r="G10" s="5">
        <f>SUM(G7:G8)</f>
        <v>77483.410030325569</v>
      </c>
      <c r="H10" s="5">
        <f t="shared" ref="H10:L10" si="2">SUM(H7:H8)</f>
        <v>87886.655196624997</v>
      </c>
      <c r="I10" s="5">
        <f t="shared" si="2"/>
        <v>61709.908629070618</v>
      </c>
      <c r="J10" s="5">
        <f t="shared" si="2"/>
        <v>227079.97385602118</v>
      </c>
      <c r="K10" s="5">
        <f t="shared" si="2"/>
        <v>2505813</v>
      </c>
      <c r="L10" s="5"/>
    </row>
    <row r="11" spans="2:13" x14ac:dyDescent="0.2">
      <c r="B11" s="6" t="s">
        <v>38</v>
      </c>
      <c r="C11" t="s">
        <v>32</v>
      </c>
    </row>
    <row r="12" spans="2:13" x14ac:dyDescent="0.2">
      <c r="B12" t="s">
        <v>154</v>
      </c>
      <c r="C12" t="s">
        <v>43</v>
      </c>
      <c r="G12" s="5">
        <f>SUM([1]data!C42:C43)</f>
        <v>467</v>
      </c>
      <c r="H12" s="5">
        <f>SUM([1]data!D42:D43)</f>
        <v>6461</v>
      </c>
      <c r="I12" s="5">
        <f>SUM([1]data!E42:E43)</f>
        <v>81</v>
      </c>
      <c r="J12" s="5">
        <f>SUM([1]data!F42:F43)</f>
        <v>7009</v>
      </c>
      <c r="K12" s="5">
        <f>SUM([1]data!B42:B43)</f>
        <v>301909</v>
      </c>
    </row>
    <row r="13" spans="2:13" x14ac:dyDescent="0.2">
      <c r="B13" t="s">
        <v>107</v>
      </c>
      <c r="C13" t="s">
        <v>107</v>
      </c>
      <c r="G13" s="5">
        <f>G12-G10</f>
        <v>-77016.410030325569</v>
      </c>
      <c r="H13" s="5">
        <f t="shared" ref="H13:K13" si="3">H12-H10</f>
        <v>-81425.655196624997</v>
      </c>
      <c r="I13" s="5">
        <f t="shared" si="3"/>
        <v>-61628.908629070618</v>
      </c>
      <c r="J13" s="5">
        <f t="shared" si="3"/>
        <v>-220070.97385602118</v>
      </c>
      <c r="K13" s="5">
        <f t="shared" si="3"/>
        <v>-2203904</v>
      </c>
    </row>
    <row r="14" spans="2:13" x14ac:dyDescent="0.2">
      <c r="B14" t="s">
        <v>43</v>
      </c>
      <c r="C14" t="s">
        <v>154</v>
      </c>
    </row>
    <row r="15" spans="2:13" x14ac:dyDescent="0.2">
      <c r="B15" s="7" t="s">
        <v>37</v>
      </c>
      <c r="C15" t="s">
        <v>33</v>
      </c>
      <c r="K15" s="10"/>
    </row>
    <row r="16" spans="2:13" x14ac:dyDescent="0.2">
      <c r="B16" t="s">
        <v>102</v>
      </c>
      <c r="C16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master_formulas</vt:lpstr>
      <vt:lpstr>master_values_copy_to_CSV</vt:lpstr>
      <vt:lpstr>pivot</vt:lpstr>
      <vt:lpstr>shorthand calcs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Levinson</dc:creator>
  <cp:lastModifiedBy>Andrew Levinson</cp:lastModifiedBy>
  <dcterms:created xsi:type="dcterms:W3CDTF">2018-11-07T17:39:11Z</dcterms:created>
  <dcterms:modified xsi:type="dcterms:W3CDTF">2018-11-11T01:59:01Z</dcterms:modified>
</cp:coreProperties>
</file>